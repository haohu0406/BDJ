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imelines/timeline1.xml" ContentType="application/vnd.ms-excel.timelin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XL\Desktop\Desktop 20210514\"/>
    </mc:Choice>
  </mc:AlternateContent>
  <xr:revisionPtr revIDLastSave="0" documentId="13_ncr:1_{D65B3399-7508-4EDC-97AF-72489113C461}" xr6:coauthVersionLast="46" xr6:coauthVersionMax="46" xr10:uidLastSave="{00000000-0000-0000-0000-000000000000}"/>
  <bookViews>
    <workbookView xWindow="4305" yWindow="1890" windowWidth="26160" windowHeight="11655" firstSheet="4" activeTab="5" xr2:uid="{00000000-000D-0000-FFFF-FFFF00000000}"/>
  </bookViews>
  <sheets>
    <sheet name="首页" sheetId="8" r:id="rId1"/>
    <sheet name="年度报告" sheetId="4" r:id="rId2"/>
    <sheet name="收入汇总" sheetId="12" r:id="rId3"/>
    <sheet name="支出汇总" sheetId="17" r:id="rId4"/>
    <sheet name="06自定义月度明细表" sheetId="30" r:id="rId5"/>
    <sheet name="05合同供应商明细表" sheetId="32" r:id="rId6"/>
    <sheet name="04台帐明细汇总" sheetId="21" r:id="rId7"/>
    <sheet name="03月度明细报表" sheetId="31" r:id="rId8"/>
    <sheet name="年度明细表" sheetId="22" state="hidden" r:id="rId9"/>
    <sheet name="02年度明细表" sheetId="29" r:id="rId10"/>
    <sheet name="01单据录入" sheetId="19" r:id="rId11"/>
    <sheet name="00参数配置" sheetId="18" r:id="rId12"/>
  </sheets>
  <functionGroups builtInGroupCount="19"/>
  <externalReferences>
    <externalReference r:id="rId13"/>
  </externalReferences>
  <definedNames>
    <definedName name="_xlnm._FilterDatabase" localSheetId="7" hidden="1">'03月度明细报表'!$B$4:$X$49</definedName>
    <definedName name="_xlnm._FilterDatabase" localSheetId="8" hidden="1">年度明细表!$B$4:$W$49</definedName>
    <definedName name="NativeTimeline_日期">#N/A</definedName>
    <definedName name="_xlnm.Print_Area" localSheetId="9">'02年度明细表'!$B$1:$M$1</definedName>
    <definedName name="_xlnm.Print_Area" localSheetId="7">'03月度明细报表'!$B$4:$X$49</definedName>
    <definedName name="_xlnm.Print_Area" localSheetId="6">'04台帐明细汇总'!$A$1:$N$29</definedName>
    <definedName name="_xlnm.Print_Area" localSheetId="5">'05合同供应商明细表'!$A$1:$N$26</definedName>
    <definedName name="_xlnm.Print_Area" localSheetId="4">'06自定义月度明细表'!#REF!</definedName>
    <definedName name="_xlnm.Print_Area" localSheetId="1">年度报告!$B$2:$R$24</definedName>
    <definedName name="_xlnm.Print_Area" localSheetId="8">年度明细表!$B$4:$W$49</definedName>
    <definedName name="_xlnm.Print_Area" localSheetId="2">收入汇总!$D$4:$R$8</definedName>
    <definedName name="_xlnm.Print_Area" localSheetId="3">支出汇总!$D$4:$R$11</definedName>
    <definedName name="_xlnm.Print_Titles" localSheetId="2">收入汇总!$4:$6</definedName>
    <definedName name="_xlnm.Print_Titles" localSheetId="3">支出汇总!$4:$6</definedName>
    <definedName name="数据源" localSheetId="7">OFFSET([1]收支看板!#REF!,0,0,COUNTA([1]收支看板!$U:$U)-1,2)</definedName>
    <definedName name="数据源">OFFSET(#REF!,0,0,COUNTA(#REF!)-1,2)</definedName>
  </definedNames>
  <calcPr calcId="191029"/>
  <pivotCaches>
    <pivotCache cacheId="0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</extLst>
</workbook>
</file>

<file path=xl/calcChain.xml><?xml version="1.0" encoding="utf-8"?>
<calcChain xmlns="http://schemas.openxmlformats.org/spreadsheetml/2006/main">
  <c r="I25" i="32" l="1"/>
  <c r="D25" i="32"/>
  <c r="I24" i="32"/>
  <c r="D24" i="32"/>
  <c r="N23" i="32"/>
  <c r="E23" i="32"/>
  <c r="L18" i="32"/>
  <c r="K18" i="32"/>
  <c r="J18" i="32"/>
  <c r="I18" i="32"/>
  <c r="H18" i="32"/>
  <c r="G18" i="32"/>
  <c r="F18" i="32"/>
  <c r="E18" i="32"/>
  <c r="D18" i="32"/>
  <c r="I23" i="32" s="1"/>
  <c r="I26" i="32" s="1"/>
  <c r="C18" i="32"/>
  <c r="D23" i="32" s="1"/>
  <c r="D26" i="32" s="1"/>
  <c r="A1" i="32"/>
  <c r="C18" i="21"/>
  <c r="P5" i="4"/>
  <c r="A1" i="21"/>
  <c r="M18" i="32" l="1"/>
  <c r="H20" i="32" s="1"/>
  <c r="K20" i="32" s="1"/>
  <c r="M24" i="32" s="1"/>
  <c r="M26" i="32" s="1"/>
  <c r="M23" i="32"/>
  <c r="F4" i="12"/>
  <c r="F4" i="17"/>
  <c r="F1" i="31" l="1"/>
  <c r="R2" i="31"/>
  <c r="V2" i="31"/>
  <c r="U2" i="31"/>
  <c r="S2" i="31"/>
  <c r="Q2" i="31"/>
  <c r="P2" i="31"/>
  <c r="O2" i="31"/>
  <c r="N2" i="31"/>
  <c r="M2" i="31"/>
  <c r="L2" i="31"/>
  <c r="K2" i="31"/>
  <c r="J2" i="31"/>
  <c r="P1" i="31"/>
  <c r="L1" i="31"/>
  <c r="T2" i="31" l="1"/>
  <c r="C5" i="19"/>
  <c r="D1" i="19"/>
  <c r="Q47" i="22" l="1"/>
  <c r="S11" i="22"/>
  <c r="O1" i="22" s="1"/>
  <c r="S10" i="22"/>
  <c r="V6" i="22"/>
  <c r="V7" i="22" s="1"/>
  <c r="V8" i="22" s="1"/>
  <c r="V9" i="22" s="1"/>
  <c r="V10" i="22" s="1"/>
  <c r="U2" i="22"/>
  <c r="T2" i="22"/>
  <c r="R2" i="22"/>
  <c r="Q2" i="22"/>
  <c r="P2" i="22"/>
  <c r="O2" i="22"/>
  <c r="N2" i="22"/>
  <c r="M2" i="22"/>
  <c r="L2" i="22"/>
  <c r="K2" i="22"/>
  <c r="J2" i="22"/>
  <c r="I2" i="22"/>
  <c r="F1" i="22"/>
  <c r="D1" i="22"/>
  <c r="C1" i="22"/>
  <c r="B1" i="22"/>
  <c r="C11" i="19"/>
  <c r="C10" i="19"/>
  <c r="C9" i="19"/>
  <c r="C8" i="19"/>
  <c r="C7" i="19"/>
  <c r="C6" i="19"/>
  <c r="V11" i="22" l="1"/>
  <c r="V12" i="22" s="1"/>
  <c r="V13" i="22" s="1"/>
  <c r="V14" i="22" s="1"/>
  <c r="V15" i="22" s="1"/>
  <c r="V16" i="22" s="1"/>
  <c r="V17" i="22" s="1"/>
  <c r="V18" i="22" s="1"/>
  <c r="V19" i="22" s="1"/>
  <c r="V20" i="22" s="1"/>
  <c r="V21" i="22" s="1"/>
  <c r="V22" i="22" s="1"/>
  <c r="V23" i="22" s="1"/>
  <c r="V24" i="22" s="1"/>
  <c r="V25" i="22" s="1"/>
  <c r="V26" i="22" s="1"/>
  <c r="V27" i="22" s="1"/>
  <c r="V28" i="22" s="1"/>
  <c r="V29" i="22" s="1"/>
  <c r="V30" i="22" s="1"/>
  <c r="V31" i="22" s="1"/>
  <c r="V32" i="22" s="1"/>
  <c r="V33" i="22" s="1"/>
  <c r="V34" i="22" s="1"/>
  <c r="V35" i="22" s="1"/>
  <c r="V36" i="22" s="1"/>
  <c r="V37" i="22" s="1"/>
  <c r="V38" i="22" s="1"/>
  <c r="V39" i="22" s="1"/>
  <c r="V40" i="22" s="1"/>
  <c r="V41" i="22" s="1"/>
  <c r="V42" i="22" s="1"/>
  <c r="V43" i="22" s="1"/>
  <c r="V44" i="22" s="1"/>
  <c r="V45" i="22" s="1"/>
  <c r="V46" i="22" s="1"/>
  <c r="V47" i="22" s="1"/>
  <c r="V48" i="22" s="1"/>
  <c r="V49" i="22" s="1"/>
  <c r="S2" i="22"/>
  <c r="K1" i="22"/>
  <c r="I25" i="21" l="1"/>
  <c r="D25" i="21"/>
  <c r="I24" i="21"/>
  <c r="D24" i="21"/>
  <c r="R5" i="17"/>
  <c r="H4" i="17" s="1"/>
  <c r="Q5" i="17"/>
  <c r="P5" i="17"/>
  <c r="O5" i="17"/>
  <c r="N5" i="17"/>
  <c r="M5" i="17"/>
  <c r="L5" i="17"/>
  <c r="K5" i="17"/>
  <c r="J5" i="17"/>
  <c r="I5" i="17"/>
  <c r="H5" i="17"/>
  <c r="G5" i="17"/>
  <c r="F5" i="17"/>
  <c r="R5" i="12"/>
  <c r="H4" i="12" s="1"/>
  <c r="Q5" i="12"/>
  <c r="P5" i="12"/>
  <c r="O5" i="12"/>
  <c r="N5" i="12"/>
  <c r="M5" i="12"/>
  <c r="L5" i="12"/>
  <c r="K5" i="12"/>
  <c r="J5" i="12"/>
  <c r="I5" i="12"/>
  <c r="H5" i="12"/>
  <c r="G5" i="12"/>
  <c r="F5" i="12"/>
  <c r="M6" i="4"/>
  <c r="I6" i="4"/>
  <c r="E6" i="4"/>
  <c r="G18" i="21" l="1"/>
  <c r="D18" i="21"/>
  <c r="L18" i="21"/>
  <c r="F18" i="21"/>
  <c r="D23" i="21"/>
  <c r="K18" i="21"/>
  <c r="J18" i="21"/>
  <c r="E18" i="21"/>
  <c r="H18" i="21"/>
  <c r="I18" i="21"/>
  <c r="E23" i="21"/>
  <c r="N23" i="21"/>
  <c r="I23" i="21" l="1"/>
  <c r="I29" i="21" s="1"/>
  <c r="M23" i="21"/>
  <c r="M18" i="21"/>
  <c r="H20" i="21" s="1"/>
  <c r="K20" i="21" s="1"/>
  <c r="M24" i="21" s="1"/>
  <c r="D29" i="21"/>
  <c r="M29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qiang</author>
  </authors>
  <commentList>
    <comment ref="V16" authorId="0" shapeId="0" xr:uid="{92FF7A46-23E0-43E1-94E9-C11823E85AC7}">
      <text>
        <r>
          <rPr>
            <b/>
            <sz val="9"/>
            <rFont val="宋体"/>
            <family val="3"/>
            <charset val="134"/>
          </rPr>
          <t>qiang:</t>
        </r>
        <r>
          <rPr>
            <sz val="9"/>
            <rFont val="宋体"/>
            <family val="3"/>
            <charset val="134"/>
          </rPr>
          <t xml:space="preserve">
这比钱有退回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qiang</author>
  </authors>
  <commentList>
    <comment ref="U16" authorId="0" shapeId="0" xr:uid="{49DFC033-6EDE-4A4F-9B1D-5BEA0410F4F1}">
      <text>
        <r>
          <rPr>
            <b/>
            <sz val="9"/>
            <rFont val="宋体"/>
            <family val="3"/>
            <charset val="134"/>
          </rPr>
          <t>qiang:</t>
        </r>
        <r>
          <rPr>
            <sz val="9"/>
            <rFont val="宋体"/>
            <family val="3"/>
            <charset val="134"/>
          </rPr>
          <t xml:space="preserve">
这比钱有退回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糜星亮</author>
  </authors>
  <commentList>
    <comment ref="H4" authorId="0" shapeId="0" xr:uid="{1956F6EC-9E38-4C7B-8A92-E791BA062AA6}">
      <text>
        <r>
          <rPr>
            <b/>
            <sz val="9"/>
            <color indexed="81"/>
            <rFont val="宋体"/>
            <family val="3"/>
            <charset val="134"/>
          </rPr>
          <t>点击添加合同附件时
有几个合同号就会打开几个合同的文件夹</t>
        </r>
      </text>
    </comment>
  </commentList>
</comments>
</file>

<file path=xl/sharedStrings.xml><?xml version="1.0" encoding="utf-8"?>
<sst xmlns="http://schemas.openxmlformats.org/spreadsheetml/2006/main" count="553" uniqueCount="278">
  <si>
    <t>年度报告</t>
  </si>
  <si>
    <t>Annual piece counting analysis report</t>
  </si>
  <si>
    <t xml:space="preserve"> 全年收支汇总</t>
  </si>
  <si>
    <t>月明细</t>
  </si>
  <si>
    <t>收入</t>
  </si>
  <si>
    <t>支出</t>
  </si>
  <si>
    <t>利润</t>
  </si>
  <si>
    <t>序号</t>
  </si>
  <si>
    <t>收入类别</t>
  </si>
  <si>
    <t>备注</t>
  </si>
  <si>
    <t>销售收入</t>
  </si>
  <si>
    <t>其他收入</t>
  </si>
  <si>
    <t>参数配置</t>
  </si>
  <si>
    <t>收入汇总</t>
  </si>
  <si>
    <t>合计</t>
  </si>
  <si>
    <t>-</t>
  </si>
  <si>
    <t>类别/月份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</si>
  <si>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</si>
  <si>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</si>
  <si>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</si>
  <si>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</si>
  <si>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</si>
  <si>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</si>
  <si>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</si>
  <si>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</si>
  <si>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</si>
  <si>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</si>
  <si>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</si>
  <si>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</si>
  <si>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支出汇总</t>
  </si>
  <si>
    <t>日期</t>
  </si>
  <si>
    <t>采购支出-物料采购</t>
    <phoneticPr fontId="29" type="noConversion"/>
  </si>
  <si>
    <t>日常支出-房租水电</t>
    <phoneticPr fontId="29" type="noConversion"/>
  </si>
  <si>
    <t>日常支出-日常报销</t>
    <phoneticPr fontId="29" type="noConversion"/>
  </si>
  <si>
    <t>日常支出-销售费用-营销费</t>
    <phoneticPr fontId="29" type="noConversion"/>
  </si>
  <si>
    <t>日常支出-工资</t>
    <phoneticPr fontId="29" type="noConversion"/>
  </si>
  <si>
    <t>日常支出-应收回借款</t>
    <phoneticPr fontId="29" type="noConversion"/>
  </si>
  <si>
    <t>招行</t>
    <phoneticPr fontId="29" type="noConversion"/>
  </si>
  <si>
    <t>农行</t>
    <phoneticPr fontId="29" type="noConversion"/>
  </si>
  <si>
    <t>合同编号</t>
    <phoneticPr fontId="29" type="noConversion"/>
  </si>
  <si>
    <t>日期</t>
    <phoneticPr fontId="29" type="noConversion"/>
  </si>
  <si>
    <t>收付款帐号</t>
    <phoneticPr fontId="29" type="noConversion"/>
  </si>
  <si>
    <t>摘要</t>
    <phoneticPr fontId="29" type="noConversion"/>
  </si>
  <si>
    <t>客户姓名</t>
    <phoneticPr fontId="29" type="noConversion"/>
  </si>
  <si>
    <t>客户地址</t>
    <phoneticPr fontId="29" type="noConversion"/>
  </si>
  <si>
    <t>序号</t>
    <phoneticPr fontId="29" type="noConversion"/>
  </si>
  <si>
    <t>销售门店</t>
    <phoneticPr fontId="29" type="noConversion"/>
  </si>
  <si>
    <t>收入支出类别</t>
    <phoneticPr fontId="29" type="noConversion"/>
  </si>
  <si>
    <t>客户地址</t>
    <phoneticPr fontId="29" type="noConversion"/>
  </si>
  <si>
    <t>摘要</t>
  </si>
  <si>
    <t>余额</t>
  </si>
  <si>
    <t>物料采购</t>
  </si>
  <si>
    <t>房租水电</t>
  </si>
  <si>
    <t>日常报销</t>
  </si>
  <si>
    <t>工资</t>
  </si>
  <si>
    <t>期初余额</t>
    <phoneticPr fontId="29" type="noConversion"/>
  </si>
  <si>
    <t>12月余额</t>
  </si>
  <si>
    <t>J1522</t>
  </si>
  <si>
    <t>滨江豪园 9-2-603 橱柜</t>
  </si>
  <si>
    <t>1店</t>
  </si>
  <si>
    <t>徐总转招行，扣除10元手续费</t>
  </si>
  <si>
    <t>JZ210109-1</t>
  </si>
  <si>
    <t>二店备用金</t>
  </si>
  <si>
    <t>转徐婵</t>
  </si>
  <si>
    <t>BX210109-5</t>
  </si>
  <si>
    <t>徐丹报销</t>
  </si>
  <si>
    <t>10箱车厘子</t>
  </si>
  <si>
    <t>转万红</t>
  </si>
  <si>
    <t>8箱车厘子</t>
  </si>
  <si>
    <t>J1498</t>
  </si>
  <si>
    <t>保利半山肖总订金</t>
  </si>
  <si>
    <t>徐总转入招行</t>
  </si>
  <si>
    <t>J1525</t>
  </si>
  <si>
    <t>象湖桃园胡姐无忧订金</t>
  </si>
  <si>
    <t>BX210114-2</t>
  </si>
  <si>
    <t>徐总报销</t>
  </si>
  <si>
    <t>转徐总</t>
  </si>
  <si>
    <t>欧蓝德</t>
  </si>
  <si>
    <t>转王凤欧蓝德</t>
  </si>
  <si>
    <t>有退回</t>
  </si>
  <si>
    <t>进贤阳光悦湖7-1-2601门板费用</t>
  </si>
  <si>
    <t>转爱阜家居李莹</t>
  </si>
  <si>
    <t>张方圆</t>
  </si>
  <si>
    <t>陈梦妮</t>
  </si>
  <si>
    <t>转徐总代付</t>
  </si>
  <si>
    <t>徐国中</t>
  </si>
  <si>
    <t>万红</t>
  </si>
  <si>
    <t>侯烁</t>
  </si>
  <si>
    <t>徐丹</t>
  </si>
  <si>
    <t>乐宇龙</t>
  </si>
  <si>
    <t>李康康</t>
  </si>
  <si>
    <t>进贤阳光悦湖7-1-2601橱柜款</t>
  </si>
  <si>
    <t>扫码转招行</t>
  </si>
  <si>
    <t>BX210116-6</t>
  </si>
  <si>
    <t>车里子核桃</t>
  </si>
  <si>
    <t>过账</t>
  </si>
  <si>
    <t>BX210116-3</t>
  </si>
  <si>
    <t>ADL电费</t>
  </si>
  <si>
    <t>万红转入</t>
  </si>
  <si>
    <t>BX210116-4</t>
  </si>
  <si>
    <t>ADL快递费</t>
  </si>
  <si>
    <t>进贤阳光悦湖7-1-2601玻璃门</t>
  </si>
  <si>
    <t>陌森</t>
  </si>
  <si>
    <t>转侯总代转</t>
  </si>
  <si>
    <t>进贤阳光悦湖7-1-2601购买水盆</t>
  </si>
  <si>
    <t>保利香槟48-1楼梯款</t>
  </si>
  <si>
    <t>J1492</t>
  </si>
  <si>
    <t>绿地悦城68-1-1101设计师返点</t>
  </si>
  <si>
    <t>转李新</t>
  </si>
  <si>
    <t>绿地悦城68-1-1101补3根拉直器</t>
  </si>
  <si>
    <t>艺匠</t>
  </si>
  <si>
    <t>转艺匠</t>
  </si>
  <si>
    <t>J1497</t>
  </si>
  <si>
    <t>宜丰竹海名都4-1703台面</t>
  </si>
  <si>
    <t>台面</t>
  </si>
  <si>
    <t>转王冰</t>
  </si>
  <si>
    <t>爱阜门板退款</t>
  </si>
  <si>
    <t>爱阜家居退款</t>
  </si>
  <si>
    <t>宜丰竹海名都4-1703尾款</t>
  </si>
  <si>
    <t>扫描转招行</t>
  </si>
  <si>
    <t>宜丰竹海名都4-1703费用报销</t>
  </si>
  <si>
    <t>转侯总</t>
  </si>
  <si>
    <t>宜丰竹海名都4-1703五金</t>
  </si>
  <si>
    <t>祥顺源</t>
  </si>
  <si>
    <t>徐总代付祥顺源五金</t>
  </si>
  <si>
    <t>宜丰竹海名都4-1703柜体</t>
  </si>
  <si>
    <t>军峰</t>
  </si>
  <si>
    <t>徐总代付军峰</t>
  </si>
  <si>
    <t>BX210125-7</t>
  </si>
  <si>
    <t>看望住院安装工小胖</t>
  </si>
  <si>
    <t>转侯总代付</t>
  </si>
  <si>
    <t>柴老师办公室电动移门</t>
  </si>
  <si>
    <t>BX210125-8</t>
  </si>
  <si>
    <t>绿地悦城68-1-1101运费报销</t>
  </si>
  <si>
    <t>BX210125-9</t>
  </si>
  <si>
    <t>ADL日常报销</t>
  </si>
  <si>
    <t>BX210125-10</t>
  </si>
  <si>
    <t>BX210125-11</t>
  </si>
  <si>
    <t>ADL/乔金斯房租2021.1.1-2021.1.31</t>
  </si>
  <si>
    <t>红谷新城K26-2404</t>
  </si>
  <si>
    <t>客户转入招行</t>
  </si>
  <si>
    <t>红谷新城K26-2404整木尾款（欧蓝德）</t>
  </si>
  <si>
    <t>转何戟</t>
  </si>
  <si>
    <t>下单支出</t>
  </si>
  <si>
    <t>日常支出</t>
  </si>
  <si>
    <t>营销费</t>
  </si>
  <si>
    <t>借支过帐</t>
    <phoneticPr fontId="29" type="noConversion"/>
  </si>
  <si>
    <t>总计</t>
  </si>
  <si>
    <t>银行卡（招行6214837940200359徐国中）</t>
  </si>
  <si>
    <t>帐上金额</t>
  </si>
  <si>
    <t>总余额</t>
  </si>
  <si>
    <t>台帐收入1442358.24-过账费用135198.2</t>
  </si>
  <si>
    <t>下单支出总计</t>
  </si>
  <si>
    <t>台账日常支出-过帐金额-135198.2-50000农行卡</t>
  </si>
  <si>
    <t>收入+未入台帐</t>
  </si>
  <si>
    <t>未入台账费用73238</t>
  </si>
  <si>
    <t>台账总余额</t>
  </si>
  <si>
    <t>订单收入</t>
  </si>
  <si>
    <t>订单信息表下单+营销费</t>
  </si>
  <si>
    <t>订单余额832761.48+员工提成77349</t>
  </si>
  <si>
    <t>448369.42-73238-185+22000+18</t>
  </si>
  <si>
    <t>玻璃门</t>
  </si>
  <si>
    <t>J1491</t>
  </si>
  <si>
    <t>合同收入支出录入</t>
    <phoneticPr fontId="29" type="noConversion"/>
  </si>
  <si>
    <t>门店</t>
    <phoneticPr fontId="29" type="noConversion"/>
  </si>
  <si>
    <t>厂家</t>
    <phoneticPr fontId="29" type="noConversion"/>
  </si>
  <si>
    <t>日常支出</t>
    <phoneticPr fontId="29" type="noConversion"/>
  </si>
  <si>
    <t>银行账户互转收入</t>
    <phoneticPr fontId="29" type="noConversion"/>
  </si>
  <si>
    <t>银行账户互转支出</t>
    <phoneticPr fontId="29" type="noConversion"/>
  </si>
  <si>
    <t>收入</t>
    <phoneticPr fontId="29" type="noConversion"/>
  </si>
  <si>
    <t>账户余额</t>
    <phoneticPr fontId="29" type="noConversion"/>
  </si>
  <si>
    <t>备注</t>
    <phoneticPr fontId="29" type="noConversion"/>
  </si>
  <si>
    <t>收款人</t>
    <phoneticPr fontId="29" type="noConversion"/>
  </si>
  <si>
    <t>合计</t>
    <phoneticPr fontId="29" type="noConversion"/>
  </si>
  <si>
    <t>订单支出-运输费用</t>
    <phoneticPr fontId="29" type="noConversion"/>
  </si>
  <si>
    <t>订单支出-赞助费用</t>
    <phoneticPr fontId="29" type="noConversion"/>
  </si>
  <si>
    <t>原材料</t>
    <phoneticPr fontId="29" type="noConversion"/>
  </si>
  <si>
    <t>房租水电</t>
    <phoneticPr fontId="29" type="noConversion"/>
  </si>
  <si>
    <t>应收回借款</t>
  </si>
  <si>
    <t>订单采购支出</t>
    <phoneticPr fontId="29" type="noConversion"/>
  </si>
  <si>
    <t>营销费</t>
    <phoneticPr fontId="29" type="noConversion"/>
  </si>
  <si>
    <t>进贤阳光悦湖7-1-2601台面开放柜费用</t>
    <phoneticPr fontId="29" type="noConversion"/>
  </si>
  <si>
    <t>供应商</t>
    <phoneticPr fontId="29" type="noConversion"/>
  </si>
  <si>
    <t>客户</t>
    <phoneticPr fontId="29" type="noConversion"/>
  </si>
  <si>
    <t>当前日期：</t>
    <phoneticPr fontId="29" type="noConversion"/>
  </si>
  <si>
    <t>1店</t>
    <phoneticPr fontId="29" type="noConversion"/>
  </si>
  <si>
    <t>付款金额</t>
    <phoneticPr fontId="29" type="noConversion"/>
  </si>
  <si>
    <t>收款金额</t>
    <phoneticPr fontId="29" type="noConversion"/>
  </si>
  <si>
    <t>工行期初余额</t>
    <phoneticPr fontId="29" type="noConversion"/>
  </si>
  <si>
    <t>招行期初余额</t>
    <phoneticPr fontId="29" type="noConversion"/>
  </si>
  <si>
    <t>订单支出-原材料</t>
    <phoneticPr fontId="29" type="noConversion"/>
  </si>
  <si>
    <t>收支类别</t>
    <phoneticPr fontId="29" type="noConversion"/>
  </si>
  <si>
    <t>员工</t>
    <phoneticPr fontId="29" type="noConversion"/>
  </si>
  <si>
    <t>徐小娟</t>
  </si>
  <si>
    <t>谭志亮</t>
  </si>
  <si>
    <t>聂辉</t>
  </si>
  <si>
    <t>红谷新城K-26-1-2404</t>
  </si>
  <si>
    <t>J1491</t>
    <phoneticPr fontId="29" type="noConversion"/>
  </si>
  <si>
    <t>聂辉</t>
    <phoneticPr fontId="29" type="noConversion"/>
  </si>
  <si>
    <t>红谷新城K-26-1-2404</t>
    <phoneticPr fontId="29" type="noConversion"/>
  </si>
  <si>
    <t>J1492</t>
    <phoneticPr fontId="29" type="noConversion"/>
  </si>
  <si>
    <t>周姐</t>
    <phoneticPr fontId="29" type="noConversion"/>
  </si>
  <si>
    <t>绿地悦城F区68-1101</t>
    <phoneticPr fontId="29" type="noConversion"/>
  </si>
  <si>
    <t>J1493</t>
    <phoneticPr fontId="29" type="noConversion"/>
  </si>
  <si>
    <t>万姐</t>
    <phoneticPr fontId="29" type="noConversion"/>
  </si>
  <si>
    <t>龙森山居31栋</t>
    <phoneticPr fontId="29" type="noConversion"/>
  </si>
  <si>
    <t>J1495</t>
    <phoneticPr fontId="29" type="noConversion"/>
  </si>
  <si>
    <t>张姐</t>
    <phoneticPr fontId="29" type="noConversion"/>
  </si>
  <si>
    <t>中海湖心半岛5-2-101.102</t>
    <phoneticPr fontId="29" type="noConversion"/>
  </si>
  <si>
    <t>J1496</t>
    <phoneticPr fontId="29" type="noConversion"/>
  </si>
  <si>
    <t>滨江一号</t>
    <phoneticPr fontId="29" type="noConversion"/>
  </si>
  <si>
    <t>J1497</t>
    <phoneticPr fontId="29" type="noConversion"/>
  </si>
  <si>
    <t>童清华</t>
    <phoneticPr fontId="29" type="noConversion"/>
  </si>
  <si>
    <t>宜丰竹海铭珠</t>
    <phoneticPr fontId="29" type="noConversion"/>
  </si>
  <si>
    <t>J1521</t>
    <phoneticPr fontId="29" type="noConversion"/>
  </si>
  <si>
    <t>熊总</t>
    <phoneticPr fontId="29" type="noConversion"/>
  </si>
  <si>
    <t>十里江山3-1-2201</t>
    <phoneticPr fontId="29" type="noConversion"/>
  </si>
  <si>
    <t>上海柏森</t>
    <phoneticPr fontId="29" type="noConversion"/>
  </si>
  <si>
    <t>工行期末余额：</t>
    <phoneticPr fontId="29" type="noConversion"/>
  </si>
  <si>
    <t>招行期末余额：</t>
    <phoneticPr fontId="29" type="noConversion"/>
  </si>
  <si>
    <t>采购支出-订单支出-原材料</t>
  </si>
  <si>
    <t>招行</t>
  </si>
  <si>
    <t>玻璃门</t>
    <phoneticPr fontId="29" type="noConversion"/>
  </si>
  <si>
    <t>防盗门</t>
  </si>
  <si>
    <t>防盗门</t>
    <phoneticPr fontId="29" type="noConversion"/>
  </si>
  <si>
    <t>上海柏森</t>
  </si>
  <si>
    <t>采购支出-物料采购</t>
  </si>
  <si>
    <t>合同编号</t>
  </si>
  <si>
    <t>客户</t>
  </si>
  <si>
    <t>客户地址</t>
  </si>
  <si>
    <t>销售门店</t>
  </si>
  <si>
    <t>供应商</t>
  </si>
  <si>
    <t>求和项:收付款金额</t>
  </si>
  <si>
    <t>收款人</t>
  </si>
  <si>
    <t>系统年份：</t>
    <phoneticPr fontId="29" type="noConversion"/>
  </si>
  <si>
    <t>收付款帐户</t>
  </si>
  <si>
    <t>收付款帐户</t>
    <phoneticPr fontId="29" type="noConversion"/>
  </si>
  <si>
    <t>收付款账户</t>
    <phoneticPr fontId="29" type="noConversion"/>
  </si>
  <si>
    <t>序号</t>
    <phoneticPr fontId="29" type="noConversion"/>
  </si>
  <si>
    <t>采购支出-订单支出-运输费用</t>
  </si>
  <si>
    <t>采购支出-订单支出-赞助费用</t>
  </si>
  <si>
    <t>日常支出-房租水电</t>
  </si>
  <si>
    <t>日常支出-日常报销</t>
  </si>
  <si>
    <t>日常支出-销售费用-营销费</t>
  </si>
  <si>
    <t>日常支出-工资</t>
  </si>
  <si>
    <t>日常支出-应收回借款</t>
  </si>
  <si>
    <t>银行账户互转支出</t>
  </si>
  <si>
    <t>银行账户互转收入</t>
  </si>
  <si>
    <t>物料采购</t>
    <phoneticPr fontId="29" type="noConversion"/>
  </si>
  <si>
    <t>月份：</t>
    <phoneticPr fontId="29" type="noConversion"/>
  </si>
  <si>
    <t>农行期末余额：</t>
    <phoneticPr fontId="29" type="noConversion"/>
  </si>
  <si>
    <t>招行年初余额</t>
    <phoneticPr fontId="29" type="noConversion"/>
  </si>
  <si>
    <t>农行年初余额</t>
    <phoneticPr fontId="29" type="noConversion"/>
  </si>
  <si>
    <t>采购支出-合同支出-原材料</t>
  </si>
  <si>
    <t>采购支出-合同支出-原材料</t>
    <phoneticPr fontId="29" type="noConversion"/>
  </si>
  <si>
    <t>采购支出-合同支出-运输费用</t>
  </si>
  <si>
    <t>采购支出-合同支出-运输费用</t>
    <phoneticPr fontId="29" type="noConversion"/>
  </si>
  <si>
    <t>采购支出-合同支出-赞助费用</t>
  </si>
  <si>
    <t>采购支出-合同支出-赞助费用</t>
    <phoneticPr fontId="29" type="noConversion"/>
  </si>
  <si>
    <t>合同采购支出</t>
    <phoneticPr fontId="29" type="noConversion"/>
  </si>
  <si>
    <t>合同支出-原材料</t>
    <phoneticPr fontId="29" type="noConversion"/>
  </si>
  <si>
    <t>合同支出-运输费用</t>
    <phoneticPr fontId="29" type="noConversion"/>
  </si>
  <si>
    <t>合同支出-赞助费用</t>
    <phoneticPr fontId="29" type="noConversion"/>
  </si>
  <si>
    <t>1月</t>
    <phoneticPr fontId="29" type="noConversion"/>
  </si>
  <si>
    <t>农行余额</t>
    <phoneticPr fontId="29" type="noConversion"/>
  </si>
  <si>
    <t>招行余额</t>
    <phoneticPr fontId="29" type="noConversion"/>
  </si>
  <si>
    <t>2021年5月</t>
    <phoneticPr fontId="29" type="noConversion"/>
  </si>
  <si>
    <t>银行卡（农行6228450928060582978万红）</t>
    <phoneticPr fontId="29" type="noConversion"/>
  </si>
  <si>
    <t>采购支出-合同支出-原材料</t>
    <phoneticPr fontId="29" type="noConversion"/>
  </si>
  <si>
    <t>原材料</t>
    <phoneticPr fontId="29" type="noConversion"/>
  </si>
  <si>
    <t>采购支出-合同支出-运输费用</t>
    <phoneticPr fontId="29" type="noConversion"/>
  </si>
  <si>
    <t>运输费用</t>
    <phoneticPr fontId="29" type="noConversion"/>
  </si>
  <si>
    <t>采购支出-合同支出-赞助费用</t>
    <phoneticPr fontId="29" type="noConversion"/>
  </si>
  <si>
    <t>赞助费用</t>
    <phoneticPr fontId="29" type="noConversion"/>
  </si>
  <si>
    <t>日常支出-销售费用-营销费</t>
    <phoneticPr fontId="29" type="noConversion"/>
  </si>
  <si>
    <t>年度收支汇总</t>
    <phoneticPr fontId="29" type="noConversion"/>
  </si>
  <si>
    <t>合同收入</t>
    <phoneticPr fontId="29" type="noConversion"/>
  </si>
  <si>
    <t>合同信息表下单+营销费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</si>
</sst>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d"/>
    <numFmt numFmtId="177" formatCode="yyyy&quot;年&quot;m&quot;月&quot;&quot;份考勤登记表&quot;"/>
    <numFmt numFmtId="178" formatCode="#,##0.00_ "/>
    <numFmt numFmtId="179" formatCode="0&quot;月&quot;"/>
    <numFmt numFmtId="180" formatCode="0000\-00\-00"/>
  </numFmts>
  <fonts count="45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4"/>
      <color theme="0"/>
      <name val="微软雅黑"/>
      <family val="2"/>
      <charset val="134"/>
    </font>
    <font>
      <b/>
      <sz val="10"/>
      <color theme="9" tint="-0.249977111117893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theme="9" tint="-0.249977111117893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20"/>
      <color rgb="FF272727"/>
      <name val="微软雅黑"/>
      <family val="2"/>
      <charset val="134"/>
    </font>
    <font>
      <sz val="20"/>
      <color theme="1" tint="0.249977111117893"/>
      <name val="微软雅黑"/>
      <family val="2"/>
      <charset val="134"/>
    </font>
    <font>
      <sz val="10"/>
      <color theme="1" tint="0.14999847407452621"/>
      <name val="微软雅黑"/>
      <family val="2"/>
      <charset val="134"/>
    </font>
    <font>
      <sz val="10"/>
      <color rgb="FF1890FF"/>
      <name val="微软雅黑"/>
      <family val="2"/>
      <charset val="134"/>
    </font>
    <font>
      <b/>
      <sz val="10"/>
      <color theme="1" tint="0.249977111117893"/>
      <name val="微软雅黑"/>
      <family val="2"/>
      <charset val="134"/>
    </font>
    <font>
      <sz val="10"/>
      <color theme="1" tint="0.249977111117893"/>
      <name val="微软雅黑"/>
      <family val="2"/>
      <charset val="134"/>
    </font>
    <font>
      <sz val="18"/>
      <color theme="1" tint="0.499984740745262"/>
      <name val="微软雅黑"/>
      <family val="2"/>
      <charset val="134"/>
    </font>
    <font>
      <sz val="10"/>
      <color theme="1" tint="0.249977111117893"/>
      <name val="微软雅黑"/>
      <family val="2"/>
      <charset val="134"/>
    </font>
    <font>
      <b/>
      <u/>
      <sz val="14"/>
      <color rgb="FF285C5A"/>
      <name val="微软雅黑"/>
      <family val="2"/>
      <charset val="134"/>
    </font>
    <font>
      <b/>
      <u/>
      <sz val="10"/>
      <color rgb="FF285C5A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0"/>
      <color theme="1" tint="0.249977111117893"/>
      <name val="微软雅黑"/>
      <family val="2"/>
      <charset val="134"/>
    </font>
    <font>
      <b/>
      <sz val="22"/>
      <color theme="1" tint="0.249977111117893"/>
      <name val="微软雅黑"/>
      <family val="2"/>
      <charset val="134"/>
    </font>
    <font>
      <b/>
      <sz val="10"/>
      <name val="微软雅黑"/>
      <family val="2"/>
      <charset val="134"/>
    </font>
    <font>
      <b/>
      <sz val="22"/>
      <color rgb="FFC00000"/>
      <name val="微软雅黑"/>
      <family val="2"/>
      <charset val="134"/>
    </font>
    <font>
      <sz val="9"/>
      <name val="宋体"/>
      <family val="3"/>
      <charset val="134"/>
    </font>
    <font>
      <u/>
      <sz val="11"/>
      <color rgb="FF0000FF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u val="singleAccounting"/>
      <sz val="14"/>
      <color rgb="FF285C5A"/>
      <name val="微软雅黑"/>
      <family val="2"/>
      <charset val="134"/>
    </font>
    <font>
      <b/>
      <sz val="9"/>
      <color theme="1" tint="0.249977111117893"/>
      <name val="微软雅黑"/>
      <family val="2"/>
      <charset val="134"/>
    </font>
    <font>
      <sz val="9"/>
      <color theme="1" tint="0.249977111117893"/>
      <name val="微软雅黑"/>
      <family val="2"/>
      <charset val="134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0"/>
      <color theme="4" tint="-0.499984740745262"/>
      <name val="微软雅黑"/>
      <family val="2"/>
      <charset val="134"/>
    </font>
    <font>
      <b/>
      <u val="singleAccounting"/>
      <sz val="10"/>
      <color rgb="FF285C5A"/>
      <name val="微软雅黑"/>
      <family val="2"/>
      <charset val="134"/>
    </font>
    <font>
      <b/>
      <sz val="14"/>
      <color rgb="FF285C5A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F0F2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CDAD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rgb="FFE9E9E9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auto="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auto="1"/>
      </top>
      <bottom style="thin">
        <color theme="0" tint="-0.14999847407452621"/>
      </bottom>
      <diagonal/>
    </border>
    <border>
      <left style="thin">
        <color theme="0" tint="-0.14996795556505021"/>
      </left>
      <right/>
      <top style="thin">
        <color theme="0" tint="-0.34998626667073579"/>
      </top>
      <bottom/>
      <diagonal/>
    </border>
    <border>
      <left style="thin">
        <color theme="0" tint="-0.14996795556505021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0" fontId="27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0" borderId="0">
      <alignment vertical="center"/>
    </xf>
  </cellStyleXfs>
  <cellXfs count="316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4" fillId="0" borderId="1" xfId="0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5" fillId="0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2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1" fillId="0" borderId="0" xfId="0" applyFont="1" applyFill="1" applyAlignment="1"/>
    <xf numFmtId="0" fontId="2" fillId="3" borderId="0" xfId="0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 vertical="center"/>
    </xf>
    <xf numFmtId="178" fontId="9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178" fontId="10" fillId="0" borderId="0" xfId="0" applyNumberFormat="1" applyFont="1" applyFill="1" applyBorder="1" applyAlignment="1">
      <alignment horizontal="center" vertical="center"/>
    </xf>
    <xf numFmtId="0" fontId="10" fillId="2" borderId="0" xfId="0" applyNumberFormat="1" applyFont="1" applyFill="1" applyBorder="1" applyAlignment="1">
      <alignment horizontal="center" vertical="center"/>
    </xf>
    <xf numFmtId="178" fontId="10" fillId="2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Alignment="1"/>
    <xf numFmtId="178" fontId="11" fillId="0" borderId="0" xfId="0" applyNumberFormat="1" applyFont="1" applyFill="1" applyAlignment="1"/>
    <xf numFmtId="0" fontId="14" fillId="0" borderId="0" xfId="1" applyNumberFormat="1" applyFont="1" applyFill="1" applyBorder="1" applyAlignment="1" applyProtection="1">
      <alignment vertical="center" shrinkToFit="1"/>
    </xf>
    <xf numFmtId="178" fontId="12" fillId="0" borderId="0" xfId="1" applyNumberFormat="1" applyFont="1" applyFill="1" applyBorder="1" applyAlignment="1" applyProtection="1">
      <alignment vertical="center"/>
    </xf>
    <xf numFmtId="0" fontId="1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5" fillId="0" borderId="1" xfId="2" applyNumberFormat="1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12" fillId="0" borderId="0" xfId="1" applyNumberFormat="1" applyFont="1" applyFill="1" applyAlignment="1" applyProtection="1">
      <alignment vertical="center"/>
    </xf>
    <xf numFmtId="0" fontId="3" fillId="0" borderId="3" xfId="0" applyNumberFormat="1" applyFont="1" applyFill="1" applyBorder="1" applyAlignment="1" applyProtection="1">
      <alignment horizontal="center" vertical="center"/>
    </xf>
    <xf numFmtId="0" fontId="15" fillId="5" borderId="3" xfId="0" applyNumberFormat="1" applyFont="1" applyFill="1" applyBorder="1" applyAlignment="1" applyProtection="1">
      <alignment horizontal="center" vertical="center"/>
    </xf>
    <xf numFmtId="0" fontId="7" fillId="0" borderId="1" xfId="2" applyNumberFormat="1" applyFont="1" applyFill="1" applyBorder="1" applyAlignment="1">
      <alignment horizontal="center" vertical="center"/>
    </xf>
    <xf numFmtId="0" fontId="16" fillId="0" borderId="3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Alignment="1">
      <alignment horizontal="center" vertical="center"/>
    </xf>
    <xf numFmtId="0" fontId="18" fillId="0" borderId="0" xfId="1" applyNumberFormat="1" applyFont="1" applyFill="1" applyAlignment="1" applyProtection="1">
      <alignment horizontal="center" vertical="center"/>
    </xf>
    <xf numFmtId="0" fontId="3" fillId="0" borderId="3" xfId="1" applyNumberFormat="1" applyFont="1" applyFill="1" applyBorder="1" applyAlignment="1" applyProtection="1">
      <alignment horizontal="center" vertical="center"/>
    </xf>
    <xf numFmtId="0" fontId="16" fillId="0" borderId="3" xfId="1" applyNumberFormat="1" applyFont="1" applyFill="1" applyBorder="1" applyAlignment="1" applyProtection="1">
      <alignment horizontal="center" vertical="center"/>
    </xf>
    <xf numFmtId="0" fontId="18" fillId="0" borderId="0" xfId="1" applyNumberFormat="1" applyFont="1" applyFill="1" applyAlignment="1" applyProtection="1">
      <alignment vertical="center"/>
    </xf>
    <xf numFmtId="0" fontId="3" fillId="0" borderId="3" xfId="1" applyNumberFormat="1" applyFont="1" applyFill="1" applyBorder="1" applyAlignment="1" applyProtection="1">
      <alignment vertical="center"/>
    </xf>
    <xf numFmtId="0" fontId="16" fillId="0" borderId="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177" fontId="12" fillId="0" borderId="0" xfId="1" applyNumberFormat="1" applyFont="1" applyFill="1" applyBorder="1" applyAlignment="1" applyProtection="1">
      <alignment vertical="center"/>
    </xf>
    <xf numFmtId="0" fontId="14" fillId="0" borderId="0" xfId="0" applyNumberFormat="1" applyFont="1" applyFill="1" applyBorder="1" applyAlignment="1" applyProtection="1">
      <alignment vertical="center"/>
    </xf>
    <xf numFmtId="177" fontId="3" fillId="0" borderId="0" xfId="1" applyNumberFormat="1" applyFont="1" applyFill="1" applyBorder="1" applyAlignment="1" applyProtection="1">
      <alignment horizontal="center" vertical="center"/>
    </xf>
    <xf numFmtId="0" fontId="13" fillId="0" borderId="0" xfId="1" applyNumberFormat="1" applyFont="1" applyFill="1" applyBorder="1" applyAlignment="1" applyProtection="1">
      <alignment vertical="center"/>
    </xf>
    <xf numFmtId="176" fontId="13" fillId="0" borderId="0" xfId="1" applyNumberFormat="1" applyFont="1" applyFill="1" applyBorder="1" applyAlignment="1" applyProtection="1">
      <alignment vertical="center" shrinkToFit="1"/>
    </xf>
    <xf numFmtId="0" fontId="15" fillId="5" borderId="3" xfId="1" applyNumberFormat="1" applyFont="1" applyFill="1" applyBorder="1" applyAlignment="1" applyProtection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77" fontId="3" fillId="0" borderId="0" xfId="1" applyNumberFormat="1" applyFont="1" applyFill="1" applyAlignment="1" applyProtection="1">
      <alignment horizontal="center" vertical="center"/>
    </xf>
    <xf numFmtId="178" fontId="13" fillId="0" borderId="0" xfId="1" applyNumberFormat="1" applyFont="1" applyFill="1" applyBorder="1" applyAlignment="1" applyProtection="1">
      <alignment vertical="center" shrinkToFit="1"/>
    </xf>
    <xf numFmtId="178" fontId="15" fillId="5" borderId="3" xfId="0" applyNumberFormat="1" applyFont="1" applyFill="1" applyBorder="1" applyAlignment="1">
      <alignment horizontal="center" vertical="center"/>
    </xf>
    <xf numFmtId="178" fontId="16" fillId="0" borderId="3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2" fillId="3" borderId="0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 vertical="center" shrinkToFit="1"/>
    </xf>
    <xf numFmtId="0" fontId="2" fillId="3" borderId="0" xfId="0" applyFont="1" applyFill="1" applyBorder="1" applyAlignment="1">
      <alignment horizontal="left" vertical="center" indent="1" shrinkToFit="1"/>
    </xf>
    <xf numFmtId="0" fontId="18" fillId="3" borderId="5" xfId="0" applyFont="1" applyFill="1" applyBorder="1" applyAlignment="1">
      <alignment horizontal="center" vertical="center" shrinkToFit="1"/>
    </xf>
    <xf numFmtId="0" fontId="23" fillId="3" borderId="5" xfId="0" applyFont="1" applyFill="1" applyBorder="1" applyAlignment="1">
      <alignment horizontal="center" vertical="center" shrinkToFit="1"/>
    </xf>
    <xf numFmtId="0" fontId="2" fillId="3" borderId="4" xfId="0" applyFont="1" applyFill="1" applyBorder="1" applyAlignment="1">
      <alignment horizontal="left" vertical="center"/>
    </xf>
    <xf numFmtId="179" fontId="18" fillId="3" borderId="5" xfId="0" applyNumberFormat="1" applyFont="1" applyFill="1" applyBorder="1" applyAlignment="1">
      <alignment horizontal="center" vertical="center" shrinkToFit="1"/>
    </xf>
    <xf numFmtId="178" fontId="18" fillId="3" borderId="5" xfId="0" applyNumberFormat="1" applyFont="1" applyFill="1" applyBorder="1" applyAlignment="1">
      <alignment horizontal="center" vertical="center" shrinkToFit="1"/>
    </xf>
    <xf numFmtId="0" fontId="2" fillId="3" borderId="4" xfId="0" applyFont="1" applyFill="1" applyBorder="1" applyAlignment="1">
      <alignment horizontal="right"/>
    </xf>
    <xf numFmtId="0" fontId="25" fillId="3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vertical="center"/>
    </xf>
    <xf numFmtId="0" fontId="22" fillId="6" borderId="0" xfId="0" quotePrefix="1" applyFont="1" applyFill="1" applyBorder="1" applyAlignment="1">
      <alignment horizontal="left" vertical="center"/>
    </xf>
    <xf numFmtId="0" fontId="3" fillId="0" borderId="3" xfId="1" quotePrefix="1" applyNumberFormat="1" applyFont="1" applyFill="1" applyBorder="1" applyAlignment="1" applyProtection="1">
      <alignment horizontal="center" vertical="center"/>
    </xf>
    <xf numFmtId="0" fontId="0" fillId="3" borderId="0" xfId="0" applyFill="1">
      <alignment vertical="center"/>
    </xf>
    <xf numFmtId="0" fontId="15" fillId="5" borderId="3" xfId="0" applyNumberFormat="1" applyFont="1" applyFill="1" applyBorder="1" applyAlignment="1" applyProtection="1">
      <alignment horizontal="center" vertical="center" wrapText="1"/>
    </xf>
    <xf numFmtId="0" fontId="30" fillId="0" borderId="0" xfId="3" applyAlignment="1">
      <alignment vertical="center" shrinkToFit="1"/>
    </xf>
    <xf numFmtId="0" fontId="30" fillId="0" borderId="0" xfId="3" applyAlignment="1">
      <alignment horizontal="center" vertical="center" shrinkToFit="1"/>
    </xf>
    <xf numFmtId="0" fontId="33" fillId="0" borderId="9" xfId="3" applyFont="1" applyBorder="1" applyAlignment="1">
      <alignment horizontal="center" vertical="center" shrinkToFit="1"/>
    </xf>
    <xf numFmtId="0" fontId="33" fillId="0" borderId="14" xfId="3" applyFont="1" applyBorder="1" applyAlignment="1">
      <alignment horizontal="center" vertical="center" shrinkToFit="1"/>
    </xf>
    <xf numFmtId="0" fontId="33" fillId="0" borderId="13" xfId="3" applyFont="1" applyBorder="1" applyAlignment="1">
      <alignment horizontal="center" vertical="center" shrinkToFit="1"/>
    </xf>
    <xf numFmtId="0" fontId="34" fillId="0" borderId="9" xfId="3" applyFont="1" applyBorder="1" applyAlignment="1">
      <alignment horizontal="center" vertical="center" shrinkToFit="1"/>
    </xf>
    <xf numFmtId="0" fontId="34" fillId="0" borderId="14" xfId="3" applyFont="1" applyBorder="1" applyAlignment="1">
      <alignment horizontal="center" vertical="center" shrinkToFit="1"/>
    </xf>
    <xf numFmtId="0" fontId="34" fillId="0" borderId="15" xfId="3" applyFont="1" applyBorder="1" applyAlignment="1">
      <alignment horizontal="center" vertical="center" shrinkToFit="1"/>
    </xf>
    <xf numFmtId="0" fontId="34" fillId="0" borderId="16" xfId="3" applyFont="1" applyBorder="1" applyAlignment="1">
      <alignment horizontal="center" vertical="center" shrinkToFit="1"/>
    </xf>
    <xf numFmtId="0" fontId="34" fillId="0" borderId="17" xfId="3" applyFont="1" applyBorder="1" applyAlignment="1">
      <alignment horizontal="center" vertical="center" shrinkToFit="1"/>
    </xf>
    <xf numFmtId="0" fontId="34" fillId="0" borderId="18" xfId="3" applyFont="1" applyBorder="1" applyAlignment="1">
      <alignment horizontal="center" vertical="center" shrinkToFit="1"/>
    </xf>
    <xf numFmtId="0" fontId="34" fillId="0" borderId="0" xfId="3" applyFont="1" applyAlignment="1">
      <alignment horizontal="center" vertical="center" shrinkToFit="1"/>
    </xf>
    <xf numFmtId="0" fontId="34" fillId="0" borderId="11" xfId="3" applyFont="1" applyBorder="1" applyAlignment="1">
      <alignment horizontal="center" vertical="center" wrapText="1" shrinkToFit="1"/>
    </xf>
    <xf numFmtId="0" fontId="34" fillId="0" borderId="12" xfId="3" applyFont="1" applyBorder="1" applyAlignment="1">
      <alignment horizontal="center" vertical="center" wrapText="1" shrinkToFit="1"/>
    </xf>
    <xf numFmtId="0" fontId="34" fillId="0" borderId="0" xfId="3" applyFont="1" applyAlignment="1">
      <alignment horizontal="center" vertical="center" wrapText="1" shrinkToFit="1"/>
    </xf>
    <xf numFmtId="0" fontId="34" fillId="0" borderId="11" xfId="3" applyFont="1" applyBorder="1" applyAlignment="1">
      <alignment horizontal="center" vertical="center" shrinkToFit="1"/>
    </xf>
    <xf numFmtId="0" fontId="34" fillId="0" borderId="12" xfId="3" applyFont="1" applyBorder="1" applyAlignment="1">
      <alignment horizontal="center" vertical="center" shrinkToFit="1"/>
    </xf>
    <xf numFmtId="0" fontId="30" fillId="0" borderId="0" xfId="3" applyAlignment="1">
      <alignment horizontal="left" vertical="center" shrinkToFit="1"/>
    </xf>
    <xf numFmtId="0" fontId="35" fillId="0" borderId="14" xfId="3" applyFont="1" applyBorder="1" applyAlignment="1">
      <alignment horizontal="center" vertical="center"/>
    </xf>
    <xf numFmtId="0" fontId="34" fillId="0" borderId="13" xfId="3" applyFont="1" applyBorder="1" applyAlignment="1">
      <alignment horizontal="center" vertical="center" shrinkToFit="1"/>
    </xf>
    <xf numFmtId="0" fontId="36" fillId="0" borderId="13" xfId="3" applyFont="1" applyBorder="1" applyAlignment="1">
      <alignment horizontal="center" vertical="center"/>
    </xf>
    <xf numFmtId="0" fontId="30" fillId="3" borderId="0" xfId="3" applyFill="1" applyAlignment="1">
      <alignment vertical="center" shrinkToFit="1"/>
    </xf>
    <xf numFmtId="0" fontId="16" fillId="0" borderId="3" xfId="1" applyNumberFormat="1" applyFont="1" applyFill="1" applyBorder="1" applyAlignment="1" applyProtection="1">
      <alignment horizontal="center" vertical="center" wrapText="1"/>
    </xf>
    <xf numFmtId="0" fontId="30" fillId="0" borderId="0" xfId="3" applyAlignment="1">
      <alignment horizontal="center" vertical="center" wrapText="1" shrinkToFit="1"/>
    </xf>
    <xf numFmtId="0" fontId="30" fillId="0" borderId="0" xfId="3" applyAlignment="1">
      <alignment vertical="center" wrapText="1" shrinkToFit="1"/>
    </xf>
    <xf numFmtId="0" fontId="30" fillId="0" borderId="46" xfId="3" applyBorder="1" applyAlignment="1">
      <alignment vertical="center" shrinkToFit="1"/>
    </xf>
    <xf numFmtId="0" fontId="30" fillId="3" borderId="46" xfId="3" applyFill="1" applyBorder="1" applyAlignment="1">
      <alignment vertical="center" shrinkToFit="1"/>
    </xf>
    <xf numFmtId="43" fontId="15" fillId="5" borderId="42" xfId="0" applyNumberFormat="1" applyFont="1" applyFill="1" applyBorder="1" applyAlignment="1" applyProtection="1">
      <alignment horizontal="center" vertical="center" wrapText="1"/>
    </xf>
    <xf numFmtId="43" fontId="38" fillId="5" borderId="42" xfId="0" applyNumberFormat="1" applyFont="1" applyFill="1" applyBorder="1" applyAlignment="1" applyProtection="1">
      <alignment horizontal="center" vertical="center" wrapText="1"/>
    </xf>
    <xf numFmtId="43" fontId="39" fillId="0" borderId="47" xfId="1" applyNumberFormat="1" applyFont="1" applyFill="1" applyBorder="1" applyAlignment="1" applyProtection="1">
      <alignment horizontal="center" vertical="center"/>
    </xf>
    <xf numFmtId="43" fontId="39" fillId="0" borderId="47" xfId="0" applyNumberFormat="1" applyFont="1" applyFill="1" applyBorder="1" applyAlignment="1" applyProtection="1">
      <alignment horizontal="center" vertical="center"/>
    </xf>
    <xf numFmtId="43" fontId="39" fillId="0" borderId="3" xfId="1" applyNumberFormat="1" applyFont="1" applyFill="1" applyBorder="1" applyAlignment="1" applyProtection="1">
      <alignment horizontal="center" vertical="center"/>
    </xf>
    <xf numFmtId="43" fontId="39" fillId="0" borderId="3" xfId="0" applyNumberFormat="1" applyFont="1" applyFill="1" applyBorder="1" applyAlignment="1" applyProtection="1">
      <alignment horizontal="center" vertical="center"/>
    </xf>
    <xf numFmtId="43" fontId="40" fillId="0" borderId="0" xfId="3" applyNumberFormat="1" applyFont="1" applyAlignment="1">
      <alignment vertical="center" shrinkToFit="1"/>
    </xf>
    <xf numFmtId="43" fontId="40" fillId="0" borderId="0" xfId="3" applyNumberFormat="1" applyFont="1" applyAlignment="1">
      <alignment horizontal="center" vertical="center" shrinkToFit="1"/>
    </xf>
    <xf numFmtId="0" fontId="16" fillId="0" borderId="47" xfId="1" applyNumberFormat="1" applyFont="1" applyFill="1" applyBorder="1" applyAlignment="1" applyProtection="1">
      <alignment horizontal="center" vertical="center" wrapText="1"/>
    </xf>
    <xf numFmtId="180" fontId="16" fillId="0" borderId="3" xfId="0" applyNumberFormat="1" applyFont="1" applyFill="1" applyBorder="1" applyAlignment="1" applyProtection="1">
      <alignment horizontal="center" vertical="center"/>
    </xf>
    <xf numFmtId="180" fontId="30" fillId="0" borderId="0" xfId="3" applyNumberFormat="1" applyAlignment="1">
      <alignment vertical="center" shrinkToFit="1"/>
    </xf>
    <xf numFmtId="0" fontId="1" fillId="0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43" fontId="16" fillId="0" borderId="3" xfId="1" applyNumberFormat="1" applyFont="1" applyFill="1" applyBorder="1" applyAlignment="1" applyProtection="1">
      <alignment horizontal="center" vertical="center"/>
    </xf>
    <xf numFmtId="43" fontId="37" fillId="3" borderId="0" xfId="3" applyNumberFormat="1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2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/>
    <xf numFmtId="49" fontId="13" fillId="0" borderId="0" xfId="1" applyNumberFormat="1" applyFont="1" applyFill="1" applyBorder="1" applyAlignment="1" applyProtection="1">
      <alignment vertical="center" shrinkToFit="1"/>
    </xf>
    <xf numFmtId="49" fontId="15" fillId="5" borderId="3" xfId="0" applyNumberFormat="1" applyFont="1" applyFill="1" applyBorder="1" applyAlignment="1">
      <alignment horizontal="center" vertical="center"/>
    </xf>
    <xf numFmtId="49" fontId="16" fillId="0" borderId="3" xfId="0" applyNumberFormat="1" applyFont="1" applyFill="1" applyBorder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49" fontId="20" fillId="0" borderId="0" xfId="0" applyNumberFormat="1" applyFont="1" applyFill="1" applyAlignment="1">
      <alignment horizontal="center" vertical="center"/>
    </xf>
    <xf numFmtId="0" fontId="17" fillId="3" borderId="0" xfId="3" applyFont="1" applyFill="1" applyBorder="1" applyAlignment="1">
      <alignment vertical="center"/>
    </xf>
    <xf numFmtId="43" fontId="37" fillId="3" borderId="0" xfId="3" applyNumberFormat="1" applyFont="1" applyFill="1" applyBorder="1" applyAlignment="1">
      <alignment horizontal="left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0" fillId="2" borderId="0" xfId="3" applyFont="1" applyFill="1" applyAlignment="1">
      <alignment horizontal="center" vertical="center"/>
    </xf>
    <xf numFmtId="0" fontId="11" fillId="0" borderId="0" xfId="3" applyFont="1" applyAlignment="1"/>
    <xf numFmtId="0" fontId="14" fillId="0" borderId="0" xfId="1" applyFont="1" applyAlignment="1">
      <alignment vertical="center" shrinkToFit="1"/>
    </xf>
    <xf numFmtId="0" fontId="13" fillId="0" borderId="0" xfId="1" applyFont="1">
      <alignment vertical="center"/>
    </xf>
    <xf numFmtId="0" fontId="15" fillId="5" borderId="3" xfId="1" applyFont="1" applyFill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3" fillId="0" borderId="3" xfId="3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left" vertical="center"/>
    </xf>
    <xf numFmtId="49" fontId="10" fillId="2" borderId="0" xfId="0" applyNumberFormat="1" applyFont="1" applyFill="1" applyBorder="1" applyAlignment="1">
      <alignment horizontal="left" vertical="center"/>
    </xf>
    <xf numFmtId="49" fontId="11" fillId="0" borderId="0" xfId="0" applyNumberFormat="1" applyFont="1" applyFill="1" applyAlignment="1">
      <alignment horizontal="left"/>
    </xf>
    <xf numFmtId="49" fontId="12" fillId="0" borderId="0" xfId="1" applyNumberFormat="1" applyFont="1" applyFill="1" applyBorder="1" applyAlignment="1" applyProtection="1">
      <alignment horizontal="left" vertical="center"/>
    </xf>
    <xf numFmtId="49" fontId="13" fillId="0" borderId="0" xfId="1" applyNumberFormat="1" applyFont="1" applyFill="1" applyBorder="1" applyAlignment="1" applyProtection="1">
      <alignment horizontal="left" vertical="center" shrinkToFit="1"/>
    </xf>
    <xf numFmtId="49" fontId="15" fillId="5" borderId="3" xfId="0" applyNumberFormat="1" applyFont="1" applyFill="1" applyBorder="1" applyAlignment="1">
      <alignment horizontal="left" vertical="center"/>
    </xf>
    <xf numFmtId="49" fontId="16" fillId="0" borderId="3" xfId="0" applyNumberFormat="1" applyFont="1" applyFill="1" applyBorder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0" fontId="15" fillId="5" borderId="45" xfId="0" applyNumberFormat="1" applyFont="1" applyFill="1" applyBorder="1" applyAlignment="1" applyProtection="1">
      <alignment horizontal="center" vertical="center" wrapText="1"/>
    </xf>
    <xf numFmtId="0" fontId="15" fillId="5" borderId="39" xfId="0" applyNumberFormat="1" applyFont="1" applyFill="1" applyBorder="1" applyAlignment="1" applyProtection="1">
      <alignment horizontal="center" vertical="center" wrapText="1"/>
    </xf>
    <xf numFmtId="0" fontId="15" fillId="5" borderId="42" xfId="0" applyNumberFormat="1" applyFont="1" applyFill="1" applyBorder="1" applyAlignment="1" applyProtection="1">
      <alignment horizontal="center" vertical="center" wrapText="1"/>
    </xf>
    <xf numFmtId="0" fontId="42" fillId="5" borderId="39" xfId="0" applyNumberFormat="1" applyFont="1" applyFill="1" applyBorder="1" applyAlignment="1" applyProtection="1">
      <alignment vertical="center" wrapText="1"/>
    </xf>
    <xf numFmtId="43" fontId="42" fillId="5" borderId="39" xfId="0" applyNumberFormat="1" applyFont="1" applyFill="1" applyBorder="1" applyAlignment="1" applyProtection="1">
      <alignment vertical="center" wrapText="1"/>
    </xf>
    <xf numFmtId="14" fontId="16" fillId="0" borderId="3" xfId="1" applyNumberFormat="1" applyFont="1" applyFill="1" applyBorder="1" applyAlignment="1" applyProtection="1">
      <alignment horizontal="center" vertical="center"/>
    </xf>
    <xf numFmtId="0" fontId="16" fillId="0" borderId="30" xfId="0" applyNumberFormat="1" applyFont="1" applyFill="1" applyBorder="1" applyAlignment="1" applyProtection="1">
      <alignment horizontal="center" vertical="center"/>
    </xf>
    <xf numFmtId="0" fontId="15" fillId="5" borderId="32" xfId="0" applyNumberFormat="1" applyFont="1" applyFill="1" applyBorder="1" applyAlignment="1" applyProtection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15" fillId="5" borderId="32" xfId="0" applyNumberFormat="1" applyFont="1" applyFill="1" applyBorder="1" applyAlignment="1" applyProtection="1">
      <alignment horizontal="center" vertical="center" wrapText="1"/>
    </xf>
    <xf numFmtId="0" fontId="30" fillId="0" borderId="0" xfId="0" applyFont="1" applyFill="1">
      <alignment vertical="center"/>
    </xf>
    <xf numFmtId="14" fontId="16" fillId="0" borderId="47" xfId="1" applyNumberFormat="1" applyFont="1" applyFill="1" applyBorder="1" applyAlignment="1" applyProtection="1">
      <alignment horizontal="center" vertical="center"/>
    </xf>
    <xf numFmtId="0" fontId="16" fillId="0" borderId="47" xfId="1" applyNumberFormat="1" applyFont="1" applyFill="1" applyBorder="1" applyAlignment="1" applyProtection="1">
      <alignment horizontal="center" vertical="center"/>
    </xf>
    <xf numFmtId="43" fontId="16" fillId="0" borderId="47" xfId="1" applyNumberFormat="1" applyFont="1" applyFill="1" applyBorder="1" applyAlignment="1" applyProtection="1">
      <alignment horizontal="center" vertical="center"/>
    </xf>
    <xf numFmtId="0" fontId="15" fillId="5" borderId="48" xfId="0" applyNumberFormat="1" applyFont="1" applyFill="1" applyBorder="1" applyAlignment="1" applyProtection="1">
      <alignment horizontal="center" vertical="center" wrapText="1"/>
    </xf>
    <xf numFmtId="0" fontId="0" fillId="0" borderId="2" xfId="0" applyFill="1" applyBorder="1" applyAlignment="1">
      <alignment vertical="center"/>
    </xf>
    <xf numFmtId="0" fontId="0" fillId="0" borderId="48" xfId="0" applyFill="1" applyBorder="1">
      <alignment vertical="center"/>
    </xf>
    <xf numFmtId="14" fontId="15" fillId="5" borderId="3" xfId="0" applyNumberFormat="1" applyFont="1" applyFill="1" applyBorder="1" applyAlignment="1" applyProtection="1">
      <alignment horizontal="center" vertical="center" wrapText="1"/>
    </xf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43" fontId="37" fillId="3" borderId="0" xfId="3" applyNumberFormat="1" applyFont="1" applyFill="1" applyAlignment="1">
      <alignment horizontal="left" vertical="center"/>
    </xf>
    <xf numFmtId="43" fontId="37" fillId="3" borderId="0" xfId="3" applyNumberFormat="1" applyFont="1" applyFill="1" applyAlignment="1">
      <alignment horizontal="center" vertical="center"/>
    </xf>
    <xf numFmtId="43" fontId="15" fillId="5" borderId="42" xfId="3" applyNumberFormat="1" applyFont="1" applyFill="1" applyBorder="1" applyAlignment="1">
      <alignment horizontal="center" vertical="center" wrapText="1"/>
    </xf>
    <xf numFmtId="43" fontId="38" fillId="5" borderId="42" xfId="3" applyNumberFormat="1" applyFont="1" applyFill="1" applyBorder="1" applyAlignment="1">
      <alignment horizontal="center" vertical="center" wrapText="1"/>
    </xf>
    <xf numFmtId="0" fontId="15" fillId="5" borderId="42" xfId="3" applyFont="1" applyFill="1" applyBorder="1" applyAlignment="1">
      <alignment horizontal="center" vertical="center" wrapText="1"/>
    </xf>
    <xf numFmtId="0" fontId="15" fillId="5" borderId="42" xfId="3" applyFont="1" applyFill="1" applyBorder="1" applyAlignment="1">
      <alignment horizontal="center" vertical="center" wrapText="1"/>
    </xf>
    <xf numFmtId="0" fontId="42" fillId="5" borderId="39" xfId="3" applyFont="1" applyFill="1" applyBorder="1" applyAlignment="1">
      <alignment vertical="center" wrapText="1"/>
    </xf>
    <xf numFmtId="43" fontId="42" fillId="5" borderId="39" xfId="3" applyNumberFormat="1" applyFont="1" applyFill="1" applyBorder="1" applyAlignment="1">
      <alignment vertical="center" wrapText="1"/>
    </xf>
    <xf numFmtId="0" fontId="15" fillId="5" borderId="39" xfId="3" applyFont="1" applyFill="1" applyBorder="1" applyAlignment="1">
      <alignment horizontal="center" vertical="center" wrapText="1"/>
    </xf>
    <xf numFmtId="43" fontId="39" fillId="0" borderId="47" xfId="1" applyNumberFormat="1" applyFont="1" applyBorder="1" applyAlignment="1">
      <alignment horizontal="center" vertical="center"/>
    </xf>
    <xf numFmtId="43" fontId="39" fillId="0" borderId="47" xfId="3" applyNumberFormat="1" applyFont="1" applyBorder="1" applyAlignment="1">
      <alignment horizontal="center" vertical="center"/>
    </xf>
    <xf numFmtId="0" fontId="16" fillId="0" borderId="47" xfId="1" applyFont="1" applyBorder="1" applyAlignment="1">
      <alignment horizontal="center" vertical="center" wrapText="1"/>
    </xf>
    <xf numFmtId="0" fontId="16" fillId="0" borderId="3" xfId="1" applyFont="1" applyBorder="1" applyAlignment="1">
      <alignment horizontal="center" vertical="center" wrapText="1"/>
    </xf>
    <xf numFmtId="43" fontId="39" fillId="0" borderId="3" xfId="1" applyNumberFormat="1" applyFont="1" applyBorder="1" applyAlignment="1">
      <alignment horizontal="center" vertical="center"/>
    </xf>
    <xf numFmtId="43" fontId="39" fillId="0" borderId="3" xfId="3" applyNumberFormat="1" applyFont="1" applyBorder="1" applyAlignment="1">
      <alignment horizontal="center" vertical="center"/>
    </xf>
    <xf numFmtId="0" fontId="33" fillId="0" borderId="13" xfId="3" applyFont="1" applyBorder="1" applyAlignment="1">
      <alignment horizontal="center" vertical="center" shrinkToFit="1"/>
    </xf>
    <xf numFmtId="0" fontId="7" fillId="0" borderId="1" xfId="2" applyNumberFormat="1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43" fontId="37" fillId="3" borderId="0" xfId="3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16" fillId="0" borderId="3" xfId="1" applyFont="1" applyBorder="1" applyAlignment="1">
      <alignment vertical="center" wrapText="1"/>
    </xf>
    <xf numFmtId="0" fontId="17" fillId="3" borderId="0" xfId="3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3" xfId="1" applyFont="1" applyBorder="1" applyAlignment="1">
      <alignment horizontal="left" vertical="center" wrapText="1"/>
    </xf>
    <xf numFmtId="0" fontId="30" fillId="0" borderId="0" xfId="3" applyAlignment="1">
      <alignment horizontal="left" vertical="center" wrapText="1" shrinkToFit="1"/>
    </xf>
    <xf numFmtId="49" fontId="44" fillId="3" borderId="0" xfId="3" applyNumberFormat="1" applyFont="1" applyFill="1" applyAlignment="1">
      <alignment horizontal="left" vertical="center"/>
    </xf>
    <xf numFmtId="49" fontId="30" fillId="0" borderId="0" xfId="3" applyNumberFormat="1" applyAlignment="1">
      <alignment vertical="center" shrinkToFit="1"/>
    </xf>
    <xf numFmtId="0" fontId="33" fillId="0" borderId="13" xfId="3" applyFont="1" applyBorder="1" applyAlignment="1">
      <alignment horizontal="center" vertical="center" shrinkToFit="1"/>
    </xf>
    <xf numFmtId="0" fontId="33" fillId="0" borderId="9" xfId="3" applyFont="1" applyBorder="1" applyAlignment="1">
      <alignment horizontal="center" vertical="center" shrinkToFit="1"/>
    </xf>
    <xf numFmtId="0" fontId="33" fillId="0" borderId="14" xfId="3" applyFont="1" applyBorder="1" applyAlignment="1">
      <alignment horizontal="center" vertical="center" shrinkToFit="1"/>
    </xf>
    <xf numFmtId="0" fontId="34" fillId="0" borderId="0" xfId="3" applyFont="1" applyAlignment="1">
      <alignment horizontal="center" vertical="center" shrinkToFit="1"/>
    </xf>
    <xf numFmtId="0" fontId="34" fillId="0" borderId="11" xfId="3" applyFont="1" applyBorder="1" applyAlignment="1">
      <alignment horizontal="center" vertical="center" wrapText="1" shrinkToFit="1"/>
    </xf>
    <xf numFmtId="0" fontId="34" fillId="0" borderId="15" xfId="3" applyFont="1" applyBorder="1" applyAlignment="1">
      <alignment horizontal="center" vertical="center" shrinkToFit="1"/>
    </xf>
    <xf numFmtId="0" fontId="34" fillId="0" borderId="16" xfId="3" applyFont="1" applyBorder="1" applyAlignment="1">
      <alignment horizontal="center" vertical="center" shrinkToFit="1"/>
    </xf>
    <xf numFmtId="0" fontId="34" fillId="0" borderId="17" xfId="3" applyFont="1" applyBorder="1" applyAlignment="1">
      <alignment horizontal="center" vertical="center" shrinkToFit="1"/>
    </xf>
    <xf numFmtId="0" fontId="34" fillId="0" borderId="25" xfId="3" applyFont="1" applyBorder="1" applyAlignment="1">
      <alignment horizontal="center" vertical="center" shrinkToFit="1"/>
    </xf>
    <xf numFmtId="0" fontId="34" fillId="0" borderId="9" xfId="3" applyFont="1" applyBorder="1" applyAlignment="1">
      <alignment horizontal="center" vertical="center" shrinkToFit="1"/>
    </xf>
    <xf numFmtId="0" fontId="34" fillId="0" borderId="14" xfId="3" applyFont="1" applyBorder="1" applyAlignment="1">
      <alignment horizontal="center" vertical="center" shrinkToFit="1"/>
    </xf>
    <xf numFmtId="0" fontId="34" fillId="0" borderId="8" xfId="3" applyFont="1" applyBorder="1" applyAlignment="1">
      <alignment horizontal="center" vertical="center" shrinkToFit="1"/>
    </xf>
    <xf numFmtId="14" fontId="17" fillId="3" borderId="0" xfId="3" applyNumberFormat="1" applyFont="1" applyFill="1">
      <alignment vertical="center"/>
    </xf>
    <xf numFmtId="14" fontId="16" fillId="0" borderId="3" xfId="3" applyNumberFormat="1" applyFont="1" applyBorder="1" applyAlignment="1">
      <alignment horizontal="center" vertical="center"/>
    </xf>
    <xf numFmtId="14" fontId="30" fillId="0" borderId="0" xfId="3" applyNumberFormat="1" applyAlignment="1">
      <alignment vertical="center" shrinkToFit="1"/>
    </xf>
    <xf numFmtId="0" fontId="33" fillId="0" borderId="13" xfId="3" applyFont="1" applyBorder="1" applyAlignment="1">
      <alignment horizontal="center" vertical="center" wrapText="1"/>
    </xf>
    <xf numFmtId="0" fontId="33" fillId="0" borderId="9" xfId="3" applyFont="1" applyBorder="1" applyAlignment="1">
      <alignment horizontal="center" vertical="center" wrapText="1"/>
    </xf>
    <xf numFmtId="0" fontId="33" fillId="0" borderId="14" xfId="3" applyFont="1" applyBorder="1" applyAlignment="1">
      <alignment horizontal="center" vertical="center" wrapText="1"/>
    </xf>
    <xf numFmtId="0" fontId="33" fillId="0" borderId="8" xfId="3" applyFont="1" applyBorder="1" applyAlignment="1">
      <alignment horizontal="center" vertical="center" shrinkToFit="1"/>
    </xf>
    <xf numFmtId="0" fontId="33" fillId="0" borderId="9" xfId="3" applyFont="1" applyBorder="1" applyAlignment="1">
      <alignment vertical="center" shrinkToFit="1"/>
    </xf>
    <xf numFmtId="0" fontId="7" fillId="0" borderId="1" xfId="2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left" vertical="center"/>
    </xf>
    <xf numFmtId="178" fontId="24" fillId="3" borderId="0" xfId="0" applyNumberFormat="1" applyFont="1" applyFill="1" applyBorder="1" applyAlignment="1">
      <alignment horizontal="left" vertical="top" indent="1" shrinkToFit="1"/>
    </xf>
    <xf numFmtId="178" fontId="24" fillId="3" borderId="0" xfId="0" applyNumberFormat="1" applyFont="1" applyFill="1" applyBorder="1" applyAlignment="1">
      <alignment horizontal="left" vertical="top" shrinkToFit="1"/>
    </xf>
    <xf numFmtId="178" fontId="26" fillId="3" borderId="0" xfId="0" applyNumberFormat="1" applyFont="1" applyFill="1" applyBorder="1" applyAlignment="1">
      <alignment horizontal="left" vertical="top" shrinkToFit="1"/>
    </xf>
    <xf numFmtId="0" fontId="6" fillId="0" borderId="1" xfId="0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178" fontId="19" fillId="0" borderId="0" xfId="0" applyNumberFormat="1" applyFont="1" applyFill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7" fillId="0" borderId="1" xfId="2" applyNumberFormat="1" applyFont="1" applyFill="1" applyBorder="1" applyAlignment="1">
      <alignment horizontal="center" vertical="center"/>
    </xf>
    <xf numFmtId="0" fontId="8" fillId="0" borderId="1" xfId="2" applyNumberFormat="1" applyFont="1" applyFill="1" applyBorder="1" applyAlignment="1">
      <alignment horizontal="center" vertical="center"/>
    </xf>
    <xf numFmtId="0" fontId="34" fillId="0" borderId="6" xfId="3" applyFont="1" applyBorder="1" applyAlignment="1">
      <alignment horizontal="center" vertical="center" shrinkToFit="1"/>
    </xf>
    <xf numFmtId="0" fontId="34" fillId="0" borderId="28" xfId="3" applyFont="1" applyBorder="1" applyAlignment="1">
      <alignment horizontal="center" vertical="center" shrinkToFit="1"/>
    </xf>
    <xf numFmtId="0" fontId="34" fillId="0" borderId="13" xfId="3" applyFont="1" applyBorder="1" applyAlignment="1">
      <alignment horizontal="center" vertical="center" shrinkToFit="1"/>
    </xf>
    <xf numFmtId="0" fontId="34" fillId="0" borderId="8" xfId="3" applyFont="1" applyBorder="1" applyAlignment="1">
      <alignment horizontal="center" vertical="center" shrinkToFit="1"/>
    </xf>
    <xf numFmtId="0" fontId="34" fillId="0" borderId="9" xfId="3" applyFont="1" applyBorder="1" applyAlignment="1">
      <alignment horizontal="center" vertical="center" shrinkToFit="1"/>
    </xf>
    <xf numFmtId="0" fontId="34" fillId="0" borderId="14" xfId="3" applyFont="1" applyBorder="1" applyAlignment="1">
      <alignment horizontal="center" vertical="center" shrinkToFit="1"/>
    </xf>
    <xf numFmtId="0" fontId="34" fillId="0" borderId="27" xfId="3" applyFont="1" applyBorder="1" applyAlignment="1">
      <alignment horizontal="center" vertical="center" shrinkToFit="1"/>
    </xf>
    <xf numFmtId="0" fontId="34" fillId="0" borderId="13" xfId="3" applyFont="1" applyBorder="1" applyAlignment="1">
      <alignment horizontal="center" vertical="center" wrapText="1"/>
    </xf>
    <xf numFmtId="0" fontId="34" fillId="0" borderId="9" xfId="3" applyFont="1" applyBorder="1" applyAlignment="1">
      <alignment horizontal="center" vertical="center" wrapText="1"/>
    </xf>
    <xf numFmtId="0" fontId="34" fillId="0" borderId="15" xfId="3" applyFont="1" applyBorder="1" applyAlignment="1">
      <alignment horizontal="center" vertical="center" shrinkToFit="1"/>
    </xf>
    <xf numFmtId="0" fontId="34" fillId="0" borderId="25" xfId="3" applyFont="1" applyBorder="1" applyAlignment="1">
      <alignment horizontal="center" vertical="center" shrinkToFit="1"/>
    </xf>
    <xf numFmtId="0" fontId="34" fillId="0" borderId="16" xfId="3" applyFont="1" applyBorder="1" applyAlignment="1">
      <alignment horizontal="center" vertical="center" shrinkToFit="1"/>
    </xf>
    <xf numFmtId="0" fontId="34" fillId="0" borderId="17" xfId="3" applyFont="1" applyBorder="1" applyAlignment="1">
      <alignment horizontal="center" vertical="center" shrinkToFit="1"/>
    </xf>
    <xf numFmtId="0" fontId="34" fillId="0" borderId="23" xfId="3" applyFont="1" applyBorder="1" applyAlignment="1">
      <alignment horizontal="center" vertical="center" shrinkToFit="1"/>
    </xf>
    <xf numFmtId="0" fontId="34" fillId="0" borderId="26" xfId="3" applyFont="1" applyBorder="1" applyAlignment="1">
      <alignment horizontal="center" vertical="center" shrinkToFit="1"/>
    </xf>
    <xf numFmtId="0" fontId="34" fillId="0" borderId="29" xfId="3" applyFont="1" applyBorder="1" applyAlignment="1">
      <alignment horizontal="center" vertical="center" shrinkToFit="1"/>
    </xf>
    <xf numFmtId="0" fontId="34" fillId="0" borderId="0" xfId="3" applyFont="1" applyAlignment="1">
      <alignment horizontal="center" vertical="center" shrinkToFit="1"/>
    </xf>
    <xf numFmtId="0" fontId="34" fillId="0" borderId="10" xfId="3" applyFont="1" applyBorder="1" applyAlignment="1">
      <alignment horizontal="center" vertical="center" wrapText="1" shrinkToFit="1"/>
    </xf>
    <xf numFmtId="0" fontId="34" fillId="0" borderId="21" xfId="3" applyFont="1" applyBorder="1" applyAlignment="1">
      <alignment horizontal="center" vertical="center" wrapText="1" shrinkToFit="1"/>
    </xf>
    <xf numFmtId="0" fontId="34" fillId="0" borderId="11" xfId="3" applyFont="1" applyBorder="1" applyAlignment="1">
      <alignment horizontal="center" vertical="center" wrapText="1" shrinkToFit="1"/>
    </xf>
    <xf numFmtId="0" fontId="34" fillId="0" borderId="19" xfId="3" applyFont="1" applyBorder="1" applyAlignment="1">
      <alignment horizontal="center" vertical="center" wrapText="1" shrinkToFit="1"/>
    </xf>
    <xf numFmtId="0" fontId="34" fillId="0" borderId="27" xfId="3" applyFont="1" applyBorder="1" applyAlignment="1">
      <alignment horizontal="center" vertical="center" wrapText="1" shrinkToFit="1"/>
    </xf>
    <xf numFmtId="0" fontId="34" fillId="0" borderId="8" xfId="3" applyFont="1" applyBorder="1" applyAlignment="1">
      <alignment horizontal="center" vertical="center" wrapText="1" shrinkToFit="1"/>
    </xf>
    <xf numFmtId="0" fontId="33" fillId="0" borderId="19" xfId="3" applyFont="1" applyBorder="1" applyAlignment="1">
      <alignment horizontal="center" vertical="center" shrinkToFit="1"/>
    </xf>
    <xf numFmtId="0" fontId="33" fillId="0" borderId="20" xfId="3" applyFont="1" applyBorder="1" applyAlignment="1">
      <alignment horizontal="center" vertical="center" shrinkToFit="1"/>
    </xf>
    <xf numFmtId="0" fontId="33" fillId="0" borderId="21" xfId="3" applyFont="1" applyBorder="1" applyAlignment="1">
      <alignment horizontal="center" vertical="center" shrinkToFit="1"/>
    </xf>
    <xf numFmtId="0" fontId="33" fillId="0" borderId="22" xfId="3" applyFont="1" applyBorder="1" applyAlignment="1">
      <alignment horizontal="center" vertical="center" shrinkToFit="1"/>
    </xf>
    <xf numFmtId="0" fontId="33" fillId="0" borderId="11" xfId="3" applyFont="1" applyBorder="1" applyAlignment="1">
      <alignment horizontal="center" vertical="center" shrinkToFit="1"/>
    </xf>
    <xf numFmtId="0" fontId="33" fillId="0" borderId="16" xfId="3" applyFont="1" applyBorder="1" applyAlignment="1">
      <alignment horizontal="center" vertical="center" shrinkToFit="1"/>
    </xf>
    <xf numFmtId="0" fontId="33" fillId="7" borderId="11" xfId="3" applyFont="1" applyFill="1" applyBorder="1" applyAlignment="1">
      <alignment horizontal="center" vertical="center" shrinkToFit="1"/>
    </xf>
    <xf numFmtId="0" fontId="33" fillId="7" borderId="12" xfId="3" applyFont="1" applyFill="1" applyBorder="1" applyAlignment="1">
      <alignment horizontal="center" vertical="center" shrinkToFit="1"/>
    </xf>
    <xf numFmtId="0" fontId="33" fillId="7" borderId="16" xfId="3" applyFont="1" applyFill="1" applyBorder="1" applyAlignment="1">
      <alignment horizontal="center" vertical="center" shrinkToFit="1"/>
    </xf>
    <xf numFmtId="0" fontId="33" fillId="7" borderId="17" xfId="3" applyFont="1" applyFill="1" applyBorder="1" applyAlignment="1">
      <alignment horizontal="center" vertical="center" shrinkToFit="1"/>
    </xf>
    <xf numFmtId="0" fontId="33" fillId="0" borderId="23" xfId="3" applyFont="1" applyBorder="1" applyAlignment="1">
      <alignment horizontal="center" vertical="center" shrinkToFit="1"/>
    </xf>
    <xf numFmtId="0" fontId="33" fillId="0" borderId="24" xfId="3" applyFont="1" applyBorder="1" applyAlignment="1">
      <alignment horizontal="center" vertical="center" shrinkToFit="1"/>
    </xf>
    <xf numFmtId="0" fontId="33" fillId="0" borderId="25" xfId="3" applyFont="1" applyBorder="1" applyAlignment="1">
      <alignment horizontal="center" vertical="center" shrinkToFit="1"/>
    </xf>
    <xf numFmtId="0" fontId="33" fillId="0" borderId="26" xfId="3" applyFont="1" applyBorder="1" applyAlignment="1">
      <alignment horizontal="center" vertical="center" shrinkToFit="1"/>
    </xf>
    <xf numFmtId="0" fontId="31" fillId="0" borderId="10" xfId="3" applyFont="1" applyBorder="1" applyAlignment="1">
      <alignment horizontal="center" vertical="center" shrinkToFit="1"/>
    </xf>
    <xf numFmtId="0" fontId="31" fillId="0" borderId="21" xfId="3" applyFont="1" applyBorder="1" applyAlignment="1">
      <alignment horizontal="center" vertical="center" shrinkToFit="1"/>
    </xf>
    <xf numFmtId="0" fontId="31" fillId="0" borderId="11" xfId="3" applyFont="1" applyBorder="1" applyAlignment="1">
      <alignment horizontal="center" vertical="center" shrinkToFit="1"/>
    </xf>
    <xf numFmtId="0" fontId="31" fillId="0" borderId="12" xfId="3" applyFont="1" applyBorder="1" applyAlignment="1">
      <alignment horizontal="center" vertical="center" shrinkToFit="1"/>
    </xf>
    <xf numFmtId="0" fontId="33" fillId="0" borderId="13" xfId="3" applyFont="1" applyBorder="1" applyAlignment="1">
      <alignment horizontal="center" vertical="center" shrinkToFit="1"/>
    </xf>
    <xf numFmtId="0" fontId="33" fillId="0" borderId="6" xfId="3" applyFont="1" applyBorder="1" applyAlignment="1">
      <alignment horizontal="center" vertical="center" shrinkToFit="1"/>
    </xf>
    <xf numFmtId="0" fontId="33" fillId="0" borderId="7" xfId="3" applyFont="1" applyBorder="1" applyAlignment="1">
      <alignment horizontal="center" vertical="center" shrinkToFit="1"/>
    </xf>
    <xf numFmtId="0" fontId="33" fillId="0" borderId="8" xfId="3" applyFont="1" applyBorder="1" applyAlignment="1">
      <alignment horizontal="center" vertical="center" shrinkToFit="1"/>
    </xf>
    <xf numFmtId="0" fontId="33" fillId="0" borderId="9" xfId="3" applyFont="1" applyBorder="1" applyAlignment="1">
      <alignment horizontal="center" vertical="center" shrinkToFit="1"/>
    </xf>
    <xf numFmtId="0" fontId="33" fillId="0" borderId="14" xfId="3" applyFont="1" applyBorder="1" applyAlignment="1">
      <alignment horizontal="center" vertical="center" shrinkToFit="1"/>
    </xf>
    <xf numFmtId="43" fontId="37" fillId="3" borderId="46" xfId="3" applyNumberFormat="1" applyFont="1" applyFill="1" applyBorder="1" applyAlignment="1">
      <alignment horizontal="left" vertical="center"/>
    </xf>
    <xf numFmtId="43" fontId="37" fillId="3" borderId="46" xfId="3" applyNumberFormat="1" applyFont="1" applyFill="1" applyBorder="1" applyAlignment="1">
      <alignment horizontal="center" vertical="center"/>
    </xf>
    <xf numFmtId="43" fontId="43" fillId="3" borderId="46" xfId="3" applyNumberFormat="1" applyFont="1" applyFill="1" applyBorder="1" applyAlignment="1">
      <alignment horizontal="left" vertical="center"/>
    </xf>
    <xf numFmtId="0" fontId="15" fillId="5" borderId="45" xfId="3" applyFont="1" applyFill="1" applyBorder="1" applyAlignment="1">
      <alignment horizontal="center" vertical="center" wrapText="1"/>
    </xf>
    <xf numFmtId="0" fontId="15" fillId="5" borderId="43" xfId="3" applyFont="1" applyFill="1" applyBorder="1" applyAlignment="1">
      <alignment horizontal="center" vertical="center" wrapText="1"/>
    </xf>
    <xf numFmtId="0" fontId="15" fillId="5" borderId="42" xfId="3" applyFont="1" applyFill="1" applyBorder="1" applyAlignment="1">
      <alignment horizontal="center" vertical="center" wrapText="1"/>
    </xf>
    <xf numFmtId="0" fontId="15" fillId="5" borderId="41" xfId="3" applyFont="1" applyFill="1" applyBorder="1" applyAlignment="1">
      <alignment horizontal="center" vertical="center" wrapText="1"/>
    </xf>
    <xf numFmtId="0" fontId="15" fillId="5" borderId="38" xfId="3" applyFont="1" applyFill="1" applyBorder="1" applyAlignment="1">
      <alignment horizontal="center" vertical="center" wrapText="1"/>
    </xf>
    <xf numFmtId="0" fontId="15" fillId="5" borderId="44" xfId="3" applyFont="1" applyFill="1" applyBorder="1" applyAlignment="1">
      <alignment horizontal="center" vertical="center" wrapText="1"/>
    </xf>
    <xf numFmtId="0" fontId="15" fillId="5" borderId="39" xfId="3" applyFont="1" applyFill="1" applyBorder="1" applyAlignment="1">
      <alignment horizontal="center" vertical="center" wrapText="1"/>
    </xf>
    <xf numFmtId="0" fontId="15" fillId="5" borderId="40" xfId="3" applyFont="1" applyFill="1" applyBorder="1" applyAlignment="1">
      <alignment horizontal="center" vertical="center" wrapText="1"/>
    </xf>
    <xf numFmtId="14" fontId="15" fillId="5" borderId="39" xfId="3" applyNumberFormat="1" applyFont="1" applyFill="1" applyBorder="1" applyAlignment="1">
      <alignment horizontal="center" vertical="center" wrapText="1"/>
    </xf>
    <xf numFmtId="14" fontId="15" fillId="5" borderId="50" xfId="3" applyNumberFormat="1" applyFont="1" applyFill="1" applyBorder="1" applyAlignment="1">
      <alignment horizontal="center" vertical="center" wrapText="1"/>
    </xf>
    <xf numFmtId="0" fontId="16" fillId="0" borderId="30" xfId="3" applyFont="1" applyBorder="1" applyAlignment="1">
      <alignment horizontal="center" vertical="center"/>
    </xf>
    <xf numFmtId="0" fontId="16" fillId="0" borderId="31" xfId="3" applyFont="1" applyBorder="1" applyAlignment="1">
      <alignment horizontal="center" vertical="center"/>
    </xf>
    <xf numFmtId="0" fontId="16" fillId="0" borderId="49" xfId="3" applyFont="1" applyBorder="1" applyAlignment="1">
      <alignment horizontal="center" vertical="center"/>
    </xf>
    <xf numFmtId="0" fontId="15" fillId="5" borderId="45" xfId="0" applyNumberFormat="1" applyFont="1" applyFill="1" applyBorder="1" applyAlignment="1" applyProtection="1">
      <alignment horizontal="center" vertical="center" wrapText="1"/>
    </xf>
    <xf numFmtId="0" fontId="15" fillId="5" borderId="43" xfId="0" applyNumberFormat="1" applyFont="1" applyFill="1" applyBorder="1" applyAlignment="1" applyProtection="1">
      <alignment horizontal="center" vertical="center" wrapText="1"/>
    </xf>
    <xf numFmtId="0" fontId="15" fillId="5" borderId="42" xfId="0" applyNumberFormat="1" applyFont="1" applyFill="1" applyBorder="1" applyAlignment="1" applyProtection="1">
      <alignment horizontal="center" vertical="center" wrapText="1"/>
    </xf>
    <xf numFmtId="0" fontId="16" fillId="0" borderId="30" xfId="0" applyNumberFormat="1" applyFont="1" applyFill="1" applyBorder="1" applyAlignment="1" applyProtection="1">
      <alignment horizontal="center" vertical="center"/>
    </xf>
    <xf numFmtId="0" fontId="16" fillId="0" borderId="31" xfId="0" applyNumberFormat="1" applyFont="1" applyFill="1" applyBorder="1" applyAlignment="1" applyProtection="1">
      <alignment horizontal="center" vertical="center"/>
    </xf>
    <xf numFmtId="0" fontId="16" fillId="0" borderId="34" xfId="0" applyNumberFormat="1" applyFont="1" applyFill="1" applyBorder="1" applyAlignment="1" applyProtection="1">
      <alignment horizontal="center" vertical="center"/>
    </xf>
    <xf numFmtId="0" fontId="16" fillId="0" borderId="35" xfId="0" applyNumberFormat="1" applyFont="1" applyFill="1" applyBorder="1" applyAlignment="1" applyProtection="1">
      <alignment horizontal="center" vertical="center"/>
    </xf>
    <xf numFmtId="0" fontId="15" fillId="5" borderId="39" xfId="0" applyNumberFormat="1" applyFont="1" applyFill="1" applyBorder="1" applyAlignment="1" applyProtection="1">
      <alignment horizontal="center" vertical="center" wrapText="1"/>
    </xf>
    <xf numFmtId="0" fontId="15" fillId="5" borderId="40" xfId="0" applyNumberFormat="1" applyFont="1" applyFill="1" applyBorder="1" applyAlignment="1" applyProtection="1">
      <alignment horizontal="center" vertical="center" wrapText="1"/>
    </xf>
    <xf numFmtId="0" fontId="15" fillId="5" borderId="41" xfId="0" applyNumberFormat="1" applyFont="1" applyFill="1" applyBorder="1" applyAlignment="1" applyProtection="1">
      <alignment horizontal="center" vertical="center" wrapText="1"/>
    </xf>
    <xf numFmtId="0" fontId="15" fillId="5" borderId="38" xfId="0" applyNumberFormat="1" applyFont="1" applyFill="1" applyBorder="1" applyAlignment="1" applyProtection="1">
      <alignment horizontal="center" vertical="center" wrapText="1"/>
    </xf>
    <xf numFmtId="0" fontId="15" fillId="5" borderId="44" xfId="0" applyNumberFormat="1" applyFont="1" applyFill="1" applyBorder="1" applyAlignment="1" applyProtection="1">
      <alignment horizontal="center" vertical="center" wrapText="1"/>
    </xf>
    <xf numFmtId="0" fontId="15" fillId="5" borderId="36" xfId="0" applyNumberFormat="1" applyFont="1" applyFill="1" applyBorder="1" applyAlignment="1" applyProtection="1">
      <alignment horizontal="center" vertical="center" wrapText="1"/>
    </xf>
    <xf numFmtId="0" fontId="15" fillId="5" borderId="37" xfId="0" applyNumberFormat="1" applyFont="1" applyFill="1" applyBorder="1" applyAlignment="1" applyProtection="1">
      <alignment horizontal="center" vertical="center" wrapText="1"/>
    </xf>
    <xf numFmtId="0" fontId="15" fillId="5" borderId="32" xfId="0" applyNumberFormat="1" applyFont="1" applyFill="1" applyBorder="1" applyAlignment="1" applyProtection="1">
      <alignment horizontal="center" vertical="center" wrapText="1"/>
    </xf>
    <xf numFmtId="0" fontId="15" fillId="5" borderId="33" xfId="0" applyNumberFormat="1" applyFont="1" applyFill="1" applyBorder="1" applyAlignment="1" applyProtection="1">
      <alignment horizontal="center" vertical="center" wrapText="1"/>
    </xf>
  </cellXfs>
  <cellStyles count="4">
    <cellStyle name="常规" xfId="0" builtinId="0"/>
    <cellStyle name="常规 2" xfId="3" xr:uid="{22B5949F-7E19-4322-8086-C083D2A5487B}"/>
    <cellStyle name="常规_考勤表" xfId="1" xr:uid="{00000000-0005-0000-0000-000019000000}"/>
    <cellStyle name="超链接" xfId="2" builtinId="8"/>
  </cellStyles>
  <dxfs count="49"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5" formatCode="_ * #,##0.00_ ;_ * \-#,##0.00_ ;_ * &quot;-&quot;??_ ;_ @_ "/>
    </dxf>
    <dxf>
      <numFmt numFmtId="35" formatCode="_ * #,##0.00_ ;_ * \-#,##0.00_ ;_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</dxf>
    <dxf>
      <numFmt numFmtId="30" formatCode="@"/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ill>
        <patternFill patternType="solid">
          <bgColor rgb="FFF0F2F5"/>
        </patternFill>
      </fill>
    </dxf>
    <dxf>
      <fill>
        <patternFill patternType="solid">
          <bgColor rgb="FFF0F2F5"/>
        </patternFill>
      </fill>
    </dxf>
  </dxfs>
  <tableStyles count="0" defaultTableStyle="TableStyleMedium2" defaultPivotStyle="PivotStyleLight16"/>
  <colors>
    <mruColors>
      <color rgb="FF33CC33"/>
      <color rgb="FF285C5A"/>
      <color rgb="FFACDADB"/>
      <color rgb="FF54AE54"/>
      <color rgb="FFE8FFFF"/>
      <color rgb="FF6ABEBE"/>
      <color rgb="FF337574"/>
      <color rgb="FFFA541C"/>
      <color rgb="FFFFF1F0"/>
      <color rgb="FF8ED8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rPr lang="zh-CN" altLang="en-US"/>
              <a:t>年度汇总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 forceAA="0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收入</c:v>
          </c:tx>
          <c:spPr>
            <a:solidFill>
              <a:srgbClr val="6ABEBE"/>
            </a:solidFill>
            <a:ln>
              <a:noFill/>
            </a:ln>
            <a:effectLst/>
          </c:spPr>
          <c:invertIfNegative val="0"/>
          <c:val>
            <c:numRef>
              <c:f>年度报告!$E$20:$P$20</c:f>
              <c:numCache>
                <c:formatCode>#,##0.00_ </c:formatCode>
                <c:ptCount val="12"/>
                <c:pt idx="0">
                  <c:v>2088</c:v>
                </c:pt>
                <c:pt idx="1">
                  <c:v>2738</c:v>
                </c:pt>
                <c:pt idx="2">
                  <c:v>2613</c:v>
                </c:pt>
                <c:pt idx="3">
                  <c:v>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1-4284-877B-744D77FBFD96}"/>
            </c:ext>
          </c:extLst>
        </c:ser>
        <c:ser>
          <c:idx val="1"/>
          <c:order val="1"/>
          <c:tx>
            <c:v>支出</c:v>
          </c:tx>
          <c:spPr>
            <a:solidFill>
              <a:srgbClr val="285C5A"/>
            </a:solidFill>
            <a:ln>
              <a:noFill/>
            </a:ln>
            <a:effectLst/>
          </c:spPr>
          <c:invertIfNegative val="0"/>
          <c:val>
            <c:numRef>
              <c:f>年度报告!$E$21:$P$21</c:f>
              <c:numCache>
                <c:formatCode>#,##0.00_ </c:formatCode>
                <c:ptCount val="12"/>
                <c:pt idx="0">
                  <c:v>-2088</c:v>
                </c:pt>
                <c:pt idx="1">
                  <c:v>-1752</c:v>
                </c:pt>
                <c:pt idx="2">
                  <c:v>-986</c:v>
                </c:pt>
                <c:pt idx="3">
                  <c:v>-1159</c:v>
                </c:pt>
                <c:pt idx="4">
                  <c:v>-2791</c:v>
                </c:pt>
                <c:pt idx="5">
                  <c:v>-2730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1-4284-877B-744D77FBFD96}"/>
            </c:ext>
          </c:extLst>
        </c:ser>
        <c:ser>
          <c:idx val="2"/>
          <c:order val="2"/>
          <c:tx>
            <c:v>利润</c:v>
          </c:tx>
          <c:spPr>
            <a:solidFill>
              <a:srgbClr val="FA541C"/>
            </a:solidFill>
            <a:ln>
              <a:noFill/>
            </a:ln>
            <a:effectLst/>
          </c:spPr>
          <c:invertIfNegative val="0"/>
          <c:val>
            <c:numRef>
              <c:f>年度报告!$E$22:$P$22</c:f>
              <c:numCache>
                <c:formatCode>#,##0.00_ </c:formatCode>
                <c:ptCount val="12"/>
                <c:pt idx="0">
                  <c:v>0</c:v>
                </c:pt>
                <c:pt idx="1">
                  <c:v>986</c:v>
                </c:pt>
                <c:pt idx="2">
                  <c:v>1627</c:v>
                </c:pt>
                <c:pt idx="3">
                  <c:v>4102</c:v>
                </c:pt>
                <c:pt idx="4">
                  <c:v>-2791</c:v>
                </c:pt>
                <c:pt idx="5">
                  <c:v>-2730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61-4284-877B-744D77FBF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685209"/>
        <c:axId val="306401956"/>
      </c:barChart>
      <c:catAx>
        <c:axId val="75568520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endParaRPr lang="zh-CN"/>
          </a:p>
        </c:txPr>
        <c:crossAx val="306401956"/>
        <c:crosses val="autoZero"/>
        <c:auto val="1"/>
        <c:lblAlgn val="ctr"/>
        <c:lblOffset val="100"/>
        <c:noMultiLvlLbl val="0"/>
      </c:catAx>
      <c:valAx>
        <c:axId val="3064019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endParaRPr lang="zh-CN"/>
          </a:p>
        </c:txPr>
        <c:crossAx val="75568520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  <a:cs typeface="微软雅黑" panose="020B0503020204020204" pitchFamily="34" charset="-122"/>
          <a:sym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04&#24635;&#35745;'!A1"/><Relationship Id="rId3" Type="http://schemas.openxmlformats.org/officeDocument/2006/relationships/hyperlink" Target="#&#21442;&#25968;&#37197;&#32622;!A1"/><Relationship Id="rId7" Type="http://schemas.openxmlformats.org/officeDocument/2006/relationships/hyperlink" Target="#&#25903;&#20986;&#27719;&#24635;!A1"/><Relationship Id="rId2" Type="http://schemas.openxmlformats.org/officeDocument/2006/relationships/hyperlink" Target="#&#20351;&#29992;&#35828;&#26126;!A1"/><Relationship Id="rId1" Type="http://schemas.openxmlformats.org/officeDocument/2006/relationships/hyperlink" Target="#&#25910;&#20837;&#27719;&#24635;!A1"/><Relationship Id="rId6" Type="http://schemas.openxmlformats.org/officeDocument/2006/relationships/hyperlink" Target="#'05&#33258;&#23450;&#20041;&#26376;&#24230;&#26126;&#32454;&#34920;'!A1"/><Relationship Id="rId5" Type="http://schemas.openxmlformats.org/officeDocument/2006/relationships/hyperlink" Target="#'03&#26376;&#24230;&#26126;&#32454;&#25253;&#34920;'!A1"/><Relationship Id="rId4" Type="http://schemas.openxmlformats.org/officeDocument/2006/relationships/hyperlink" Target="#&#25910;&#20837;&#26126;&#32454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&#39318;&#39029;!A1"/><Relationship Id="rId7" Type="http://schemas.openxmlformats.org/officeDocument/2006/relationships/hyperlink" Target="#&#24180;&#24230;&#25253;&#21578;!A1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hyperlink" Target="#&#25910;&#25903;&#30475;&#26495;!A1"/><Relationship Id="rId5" Type="http://schemas.openxmlformats.org/officeDocument/2006/relationships/hyperlink" Target="#&#25903;&#20986;&#27719;&#24635;!A1"/><Relationship Id="rId4" Type="http://schemas.openxmlformats.org/officeDocument/2006/relationships/hyperlink" Target="#&#25910;&#20837;&#27719;&#24635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25903;&#20986;&#27719;&#24635;!A1"/><Relationship Id="rId2" Type="http://schemas.openxmlformats.org/officeDocument/2006/relationships/hyperlink" Target="#&#25910;&#20837;&#27719;&#24635;!A1"/><Relationship Id="rId1" Type="http://schemas.openxmlformats.org/officeDocument/2006/relationships/hyperlink" Target="#&#39318;&#39029;!A1"/><Relationship Id="rId5" Type="http://schemas.openxmlformats.org/officeDocument/2006/relationships/hyperlink" Target="#&#24180;&#24230;&#25253;&#21578;!A1"/><Relationship Id="rId4" Type="http://schemas.openxmlformats.org/officeDocument/2006/relationships/hyperlink" Target="#&#25910;&#25903;&#30475;&#26495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&#25903;&#20986;&#27719;&#24635;!A1"/><Relationship Id="rId2" Type="http://schemas.openxmlformats.org/officeDocument/2006/relationships/hyperlink" Target="#&#25910;&#20837;&#27719;&#24635;!A1"/><Relationship Id="rId1" Type="http://schemas.openxmlformats.org/officeDocument/2006/relationships/hyperlink" Target="#&#39318;&#39029;!A1"/><Relationship Id="rId5" Type="http://schemas.openxmlformats.org/officeDocument/2006/relationships/hyperlink" Target="#&#24180;&#24230;&#25253;&#21578;!A1"/><Relationship Id="rId4" Type="http://schemas.openxmlformats.org/officeDocument/2006/relationships/hyperlink" Target="#&#25910;&#25903;&#30475;&#26495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&#25903;&#20986;&#26126;&#32454;!A1"/><Relationship Id="rId2" Type="http://schemas.openxmlformats.org/officeDocument/2006/relationships/hyperlink" Target="#&#25910;&#20837;&#26126;&#32454;!A1"/><Relationship Id="rId1" Type="http://schemas.openxmlformats.org/officeDocument/2006/relationships/hyperlink" Target="#&#39318;&#39029;!A1"/><Relationship Id="rId5" Type="http://schemas.openxmlformats.org/officeDocument/2006/relationships/hyperlink" Target="#&#20351;&#29992;&#35828;&#26126;!A1"/><Relationship Id="rId4" Type="http://schemas.openxmlformats.org/officeDocument/2006/relationships/hyperlink" Target="#&#21442;&#25968;&#37197;&#32622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33655</xdr:colOff>
      <xdr:row>1</xdr:row>
      <xdr:rowOff>0</xdr:rowOff>
    </xdr:from>
    <xdr:to>
      <xdr:col>20</xdr:col>
      <xdr:colOff>123825</xdr:colOff>
      <xdr:row>19</xdr:row>
      <xdr:rowOff>2540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19605" y="276225"/>
          <a:ext cx="10777220" cy="4974590"/>
        </a:xfrm>
        <a:prstGeom prst="roundRect">
          <a:avLst>
            <a:gd name="adj" fmla="val 3072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215900" dist="76200" dir="5400000" sx="102000" sy="102000" algn="t" rotWithShape="0">
            <a:prstClr val="black">
              <a:alpha val="2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 fPrintsWithSheet="0"/>
  </xdr:twoCellAnchor>
  <xdr:twoCellAnchor editAs="absolute">
    <xdr:from>
      <xdr:col>3</xdr:col>
      <xdr:colOff>33655</xdr:colOff>
      <xdr:row>0</xdr:row>
      <xdr:rowOff>180975</xdr:rowOff>
    </xdr:from>
    <xdr:to>
      <xdr:col>20</xdr:col>
      <xdr:colOff>123825</xdr:colOff>
      <xdr:row>5</xdr:row>
      <xdr:rowOff>133350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19605" y="180975"/>
          <a:ext cx="10777220" cy="1333500"/>
        </a:xfrm>
        <a:custGeom>
          <a:avLst/>
          <a:gdLst>
            <a:gd name="connsiteX0" fmla="*/ 0 w 12742"/>
            <a:gd name="connsiteY0" fmla="*/ 78 h 2470"/>
            <a:gd name="connsiteX1" fmla="*/ 78 w 12742"/>
            <a:gd name="connsiteY1" fmla="*/ 0 h 2470"/>
            <a:gd name="connsiteX2" fmla="*/ 12664 w 12742"/>
            <a:gd name="connsiteY2" fmla="*/ 0 h 2470"/>
            <a:gd name="connsiteX3" fmla="*/ 12742 w 12742"/>
            <a:gd name="connsiteY3" fmla="*/ 78 h 2470"/>
            <a:gd name="connsiteX4" fmla="*/ 12742 w 12742"/>
            <a:gd name="connsiteY4" fmla="*/ 2470 h 2470"/>
            <a:gd name="connsiteX5" fmla="*/ 0 w 12742"/>
            <a:gd name="connsiteY5" fmla="*/ 2470 h 2470"/>
            <a:gd name="connsiteX6" fmla="*/ 0 w 12742"/>
            <a:gd name="connsiteY6" fmla="*/ 78 h 24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2742" h="2470">
              <a:moveTo>
                <a:pt x="0" y="78"/>
              </a:moveTo>
              <a:cubicBezTo>
                <a:pt x="0" y="35"/>
                <a:pt x="35" y="0"/>
                <a:pt x="78" y="0"/>
              </a:cubicBezTo>
              <a:lnTo>
                <a:pt x="12664" y="0"/>
              </a:lnTo>
              <a:cubicBezTo>
                <a:pt x="12707" y="0"/>
                <a:pt x="12742" y="35"/>
                <a:pt x="12742" y="78"/>
              </a:cubicBezTo>
              <a:lnTo>
                <a:pt x="12742" y="2470"/>
              </a:lnTo>
              <a:lnTo>
                <a:pt x="0" y="2470"/>
              </a:lnTo>
              <a:lnTo>
                <a:pt x="0" y="78"/>
              </a:lnTo>
              <a:close/>
            </a:path>
          </a:pathLst>
        </a:cu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519430</xdr:colOff>
      <xdr:row>8</xdr:row>
      <xdr:rowOff>179070</xdr:rowOff>
    </xdr:from>
    <xdr:to>
      <xdr:col>11</xdr:col>
      <xdr:colOff>0</xdr:colOff>
      <xdr:row>11</xdr:row>
      <xdr:rowOff>67310</xdr:rowOff>
    </xdr:to>
    <xdr:sp macro="" textlink="">
      <xdr:nvSpPr>
        <xdr:cNvPr id="4" name="repor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24425" y="2414270"/>
          <a:ext cx="1997710" cy="726440"/>
        </a:xfrm>
        <a:prstGeom prst="roundRect">
          <a:avLst/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收入汇总</a:t>
          </a:r>
        </a:p>
      </xdr:txBody>
    </xdr:sp>
    <xdr:clientData fPrintsWithSheet="0"/>
  </xdr:twoCellAnchor>
  <xdr:twoCellAnchor editAs="absolute">
    <xdr:from>
      <xdr:col>11</xdr:col>
      <xdr:colOff>384175</xdr:colOff>
      <xdr:row>17</xdr:row>
      <xdr:rowOff>12700</xdr:rowOff>
    </xdr:from>
    <xdr:to>
      <xdr:col>13</xdr:col>
      <xdr:colOff>207010</xdr:colOff>
      <xdr:row>18</xdr:row>
      <xdr:rowOff>96520</xdr:rowOff>
    </xdr:to>
    <xdr:sp macro="[0]!B01Clearcontent" textlink="">
      <xdr:nvSpPr>
        <xdr:cNvPr id="5" name="shape_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306310" y="4762500"/>
          <a:ext cx="1081405" cy="3632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初始化</a:t>
          </a:r>
        </a:p>
      </xdr:txBody>
    </xdr:sp>
    <xdr:clientData fPrintsWithSheet="0"/>
  </xdr:twoCellAnchor>
  <xdr:twoCellAnchor editAs="absolute">
    <xdr:from>
      <xdr:col>9</xdr:col>
      <xdr:colOff>325120</xdr:colOff>
      <xdr:row>17</xdr:row>
      <xdr:rowOff>12700</xdr:rowOff>
    </xdr:from>
    <xdr:to>
      <xdr:col>11</xdr:col>
      <xdr:colOff>147955</xdr:colOff>
      <xdr:row>18</xdr:row>
      <xdr:rowOff>96520</xdr:rowOff>
    </xdr:to>
    <xdr:sp macro="[0]!S01Save" textlink="">
      <xdr:nvSpPr>
        <xdr:cNvPr id="6" name="shape_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88685" y="4762500"/>
          <a:ext cx="1081405" cy="3632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备    份</a:t>
          </a:r>
        </a:p>
      </xdr:txBody>
    </xdr:sp>
    <xdr:clientData fPrintsWithSheet="0"/>
  </xdr:twoCellAnchor>
  <xdr:twoCellAnchor editAs="absolute">
    <xdr:from>
      <xdr:col>13</xdr:col>
      <xdr:colOff>443230</xdr:colOff>
      <xdr:row>17</xdr:row>
      <xdr:rowOff>22225</xdr:rowOff>
    </xdr:from>
    <xdr:to>
      <xdr:col>15</xdr:col>
      <xdr:colOff>266065</xdr:colOff>
      <xdr:row>18</xdr:row>
      <xdr:rowOff>106045</xdr:rowOff>
    </xdr:to>
    <xdr:sp macro="" textlink="">
      <xdr:nvSpPr>
        <xdr:cNvPr id="7" name="s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23935" y="4772025"/>
          <a:ext cx="1081405" cy="3632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</a:p>
      </xdr:txBody>
    </xdr:sp>
    <xdr:clientData fPrintsWithSheet="0"/>
  </xdr:twoCellAnchor>
  <xdr:twoCellAnchor editAs="absolute">
    <xdr:from>
      <xdr:col>4</xdr:col>
      <xdr:colOff>558800</xdr:colOff>
      <xdr:row>0</xdr:row>
      <xdr:rowOff>220345</xdr:rowOff>
    </xdr:from>
    <xdr:to>
      <xdr:col>14</xdr:col>
      <xdr:colOff>79375</xdr:colOff>
      <xdr:row>5</xdr:row>
      <xdr:rowOff>74295</xdr:rowOff>
    </xdr:to>
    <xdr:sp macro="" textlink="">
      <xdr:nvSpPr>
        <xdr:cNvPr id="8" name="文本框 2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075940" y="220345"/>
          <a:ext cx="5813425" cy="125095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44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财务管理系统</a:t>
          </a:r>
        </a:p>
        <a:p>
          <a:pPr algn="ctr"/>
          <a:r>
            <a:rPr lang="zh-CN" altLang="en-US" sz="16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Financial management system</a:t>
          </a:r>
        </a:p>
      </xdr:txBody>
    </xdr:sp>
    <xdr:clientData fPrintsWithSheet="0"/>
  </xdr:twoCellAnchor>
  <xdr:twoCellAnchor editAs="absolute">
    <xdr:from>
      <xdr:col>4</xdr:col>
      <xdr:colOff>63500</xdr:colOff>
      <xdr:row>11</xdr:row>
      <xdr:rowOff>229235</xdr:rowOff>
    </xdr:from>
    <xdr:to>
      <xdr:col>6</xdr:col>
      <xdr:colOff>246380</xdr:colOff>
      <xdr:row>13</xdr:row>
      <xdr:rowOff>216535</xdr:rowOff>
    </xdr:to>
    <xdr:sp macro="" textlink="">
      <xdr:nvSpPr>
        <xdr:cNvPr id="9" name="圆角矩形_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78100" y="3267710"/>
          <a:ext cx="1440180" cy="539750"/>
        </a:xfrm>
        <a:prstGeom prst="roundRect">
          <a:avLst>
            <a:gd name="adj" fmla="val 11904"/>
          </a:avLst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参数配置</a:t>
          </a:r>
        </a:p>
      </xdr:txBody>
    </xdr:sp>
    <xdr:clientData fPrintsWithSheet="0"/>
  </xdr:twoCellAnchor>
  <xdr:twoCellAnchor editAs="absolute">
    <xdr:from>
      <xdr:col>4</xdr:col>
      <xdr:colOff>63500</xdr:colOff>
      <xdr:row>8</xdr:row>
      <xdr:rowOff>260350</xdr:rowOff>
    </xdr:from>
    <xdr:to>
      <xdr:col>6</xdr:col>
      <xdr:colOff>246380</xdr:colOff>
      <xdr:row>10</xdr:row>
      <xdr:rowOff>247650</xdr:rowOff>
    </xdr:to>
    <xdr:sp macro="" textlink="">
      <xdr:nvSpPr>
        <xdr:cNvPr id="11" name="圆角矩形_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578100" y="2470150"/>
          <a:ext cx="1440180" cy="539750"/>
        </a:xfrm>
        <a:prstGeom prst="roundRect">
          <a:avLst>
            <a:gd name="adj" fmla="val 11904"/>
          </a:avLst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单据录入</a:t>
          </a:r>
        </a:p>
      </xdr:txBody>
    </xdr:sp>
    <xdr:clientData fPrintsWithSheet="0"/>
  </xdr:twoCellAnchor>
  <xdr:twoCellAnchor editAs="absolute">
    <xdr:from>
      <xdr:col>11</xdr:col>
      <xdr:colOff>289560</xdr:colOff>
      <xdr:row>12</xdr:row>
      <xdr:rowOff>53975</xdr:rowOff>
    </xdr:from>
    <xdr:to>
      <xdr:col>14</xdr:col>
      <xdr:colOff>383540</xdr:colOff>
      <xdr:row>14</xdr:row>
      <xdr:rowOff>224790</xdr:rowOff>
    </xdr:to>
    <xdr:sp macro="" textlink="">
      <xdr:nvSpPr>
        <xdr:cNvPr id="12" name="圆角矩形_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204710" y="3368675"/>
          <a:ext cx="1979930" cy="723265"/>
        </a:xfrm>
        <a:prstGeom prst="roundRect">
          <a:avLst>
            <a:gd name="adj" fmla="val 11904"/>
          </a:avLst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月度明细报表</a:t>
          </a:r>
        </a:p>
      </xdr:txBody>
    </xdr:sp>
    <xdr:clientData fPrintsWithSheet="0"/>
  </xdr:twoCellAnchor>
  <xdr:twoCellAnchor editAs="absolute">
    <xdr:from>
      <xdr:col>7</xdr:col>
      <xdr:colOff>519430</xdr:colOff>
      <xdr:row>12</xdr:row>
      <xdr:rowOff>53975</xdr:rowOff>
    </xdr:from>
    <xdr:to>
      <xdr:col>11</xdr:col>
      <xdr:colOff>0</xdr:colOff>
      <xdr:row>14</xdr:row>
      <xdr:rowOff>221615</xdr:rowOff>
    </xdr:to>
    <xdr:sp macro="" textlink="">
      <xdr:nvSpPr>
        <xdr:cNvPr id="14" name="圆角矩形_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19980" y="3368675"/>
          <a:ext cx="1995170" cy="720090"/>
        </a:xfrm>
        <a:prstGeom prst="roundRect">
          <a:avLst>
            <a:gd name="adj" fmla="val 11904"/>
          </a:avLst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自定义月度明细表</a:t>
          </a:r>
        </a:p>
      </xdr:txBody>
    </xdr:sp>
    <xdr:clientData fPrintsWithSheet="0"/>
  </xdr:twoCellAnchor>
  <xdr:twoCellAnchor editAs="absolute">
    <xdr:from>
      <xdr:col>3</xdr:col>
      <xdr:colOff>47625</xdr:colOff>
      <xdr:row>16</xdr:row>
      <xdr:rowOff>177800</xdr:rowOff>
    </xdr:from>
    <xdr:to>
      <xdr:col>16</xdr:col>
      <xdr:colOff>0</xdr:colOff>
      <xdr:row>16</xdr:row>
      <xdr:rowOff>177800</xdr:rowOff>
    </xdr:to>
    <xdr:cxnSp macro="">
      <xdr:nvCxnSpPr>
        <xdr:cNvPr id="16" name="直接连接符 3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935480" y="4648200"/>
          <a:ext cx="8133080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570865</xdr:colOff>
      <xdr:row>5</xdr:row>
      <xdr:rowOff>250825</xdr:rowOff>
    </xdr:from>
    <xdr:to>
      <xdr:col>6</xdr:col>
      <xdr:colOff>397510</xdr:colOff>
      <xdr:row>7</xdr:row>
      <xdr:rowOff>91440</xdr:rowOff>
    </xdr:to>
    <xdr:sp macro="" textlink="">
      <xdr:nvSpPr>
        <xdr:cNvPr id="17" name="文本框 2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458720" y="1647825"/>
          <a:ext cx="1714500" cy="399415"/>
        </a:xfrm>
        <a:prstGeom prst="rect">
          <a:avLst/>
        </a:prstGeom>
        <a:noFill/>
        <a:ln w="9525" cmpd="sng">
          <a:solidFill>
            <a:srgbClr val="FFD8BF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sym typeface="+mn-ea"/>
            </a:rPr>
            <a:t>收支录入</a:t>
          </a:r>
        </a:p>
      </xdr:txBody>
    </xdr:sp>
    <xdr:clientData fPrintsWithSheet="0"/>
  </xdr:twoCellAnchor>
  <xdr:twoCellAnchor editAs="absolute">
    <xdr:from>
      <xdr:col>7</xdr:col>
      <xdr:colOff>288290</xdr:colOff>
      <xdr:row>7</xdr:row>
      <xdr:rowOff>191770</xdr:rowOff>
    </xdr:from>
    <xdr:to>
      <xdr:col>18</xdr:col>
      <xdr:colOff>504826</xdr:colOff>
      <xdr:row>15</xdr:row>
      <xdr:rowOff>260350</xdr:rowOff>
    </xdr:to>
    <xdr:sp macro="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688840" y="2125345"/>
          <a:ext cx="7131686" cy="2278380"/>
        </a:xfrm>
        <a:prstGeom prst="rect">
          <a:avLst/>
        </a:prstGeom>
        <a:noFill/>
        <a:ln w="9525" cap="flat" cmpd="sng" algn="ctr">
          <a:solidFill>
            <a:srgbClr val="FFD8BF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chemeClr val="accent2"/>
              </a:solidFill>
            </a14:hiddenFill>
          </a:ext>
        </a:extLst>
      </xdr:spPr>
      <xdr:txBody>
        <a:bodyPr vertOverflow="clip" wrap="square" lIns="18288" tIns="0" rIns="0" bIns="0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 fPrintsWithSheet="0"/>
  </xdr:twoCellAnchor>
  <xdr:twoCellAnchor editAs="absolute">
    <xdr:from>
      <xdr:col>3</xdr:col>
      <xdr:colOff>568960</xdr:colOff>
      <xdr:row>7</xdr:row>
      <xdr:rowOff>200025</xdr:rowOff>
    </xdr:from>
    <xdr:to>
      <xdr:col>6</xdr:col>
      <xdr:colOff>389255</xdr:colOff>
      <xdr:row>15</xdr:row>
      <xdr:rowOff>257810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456815" y="2155825"/>
          <a:ext cx="1708150" cy="2292985"/>
        </a:xfrm>
        <a:prstGeom prst="rect">
          <a:avLst/>
        </a:prstGeom>
        <a:noFill/>
        <a:ln w="9525" cap="flat" cmpd="sng" algn="ctr">
          <a:solidFill>
            <a:srgbClr val="FFD8BF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5222D"/>
              </a:solidFill>
            </a14:hiddenFill>
          </a:ext>
        </a:extLst>
      </xdr:spPr>
      <xdr:txBody>
        <a:bodyPr vertOverflow="clip" wrap="square" lIns="18288" tIns="0" rIns="0" bIns="0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 fPrintsWithSheet="0"/>
  </xdr:twoCellAnchor>
  <xdr:twoCellAnchor editAs="absolute">
    <xdr:from>
      <xdr:col>7</xdr:col>
      <xdr:colOff>276860</xdr:colOff>
      <xdr:row>5</xdr:row>
      <xdr:rowOff>250825</xdr:rowOff>
    </xdr:from>
    <xdr:to>
      <xdr:col>19</xdr:col>
      <xdr:colOff>342900</xdr:colOff>
      <xdr:row>7</xdr:row>
      <xdr:rowOff>91440</xdr:rowOff>
    </xdr:to>
    <xdr:sp macro="" textlink="">
      <xdr:nvSpPr>
        <xdr:cNvPr id="21" name="文本框 2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4677410" y="1631950"/>
          <a:ext cx="7609840" cy="393065"/>
        </a:xfrm>
        <a:prstGeom prst="rect">
          <a:avLst/>
        </a:prstGeom>
        <a:noFill/>
        <a:ln w="9525" cmpd="sng">
          <a:solidFill>
            <a:srgbClr val="FFD8BF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sym typeface="+mn-ea"/>
            </a:rPr>
            <a:t>汇总查询</a:t>
          </a:r>
        </a:p>
      </xdr:txBody>
    </xdr:sp>
    <xdr:clientData fPrintsWithSheet="0"/>
  </xdr:twoCellAnchor>
  <xdr:twoCellAnchor editAs="absolute">
    <xdr:from>
      <xdr:col>11</xdr:col>
      <xdr:colOff>278765</xdr:colOff>
      <xdr:row>8</xdr:row>
      <xdr:rowOff>179070</xdr:rowOff>
    </xdr:from>
    <xdr:to>
      <xdr:col>14</xdr:col>
      <xdr:colOff>372745</xdr:colOff>
      <xdr:row>11</xdr:row>
      <xdr:rowOff>70485</xdr:rowOff>
    </xdr:to>
    <xdr:sp macro="" textlink="">
      <xdr:nvSpPr>
        <xdr:cNvPr id="22" name="report_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193915" y="2388870"/>
          <a:ext cx="1979930" cy="720090"/>
        </a:xfrm>
        <a:prstGeom prst="roundRect">
          <a:avLst/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支出汇总</a:t>
          </a:r>
        </a:p>
      </xdr:txBody>
    </xdr:sp>
    <xdr:clientData fPrintsWithSheet="0"/>
  </xdr:twoCellAnchor>
  <xdr:twoCellAnchor editAs="absolute">
    <xdr:from>
      <xdr:col>15</xdr:col>
      <xdr:colOff>22860</xdr:colOff>
      <xdr:row>8</xdr:row>
      <xdr:rowOff>175895</xdr:rowOff>
    </xdr:from>
    <xdr:to>
      <xdr:col>18</xdr:col>
      <xdr:colOff>116840</xdr:colOff>
      <xdr:row>11</xdr:row>
      <xdr:rowOff>67310</xdr:rowOff>
    </xdr:to>
    <xdr:sp macro="" textlink="">
      <xdr:nvSpPr>
        <xdr:cNvPr id="23" name="report_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452610" y="2385695"/>
          <a:ext cx="1979930" cy="720090"/>
        </a:xfrm>
        <a:prstGeom prst="roundRect">
          <a:avLst/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年度报告</a:t>
          </a:r>
        </a:p>
      </xdr:txBody>
    </xdr:sp>
    <xdr:clientData fPrintsWithSheet="0"/>
  </xdr:twoCellAnchor>
  <xdr:twoCellAnchor editAs="absolute">
    <xdr:from>
      <xdr:col>15</xdr:col>
      <xdr:colOff>44450</xdr:colOff>
      <xdr:row>12</xdr:row>
      <xdr:rowOff>73025</xdr:rowOff>
    </xdr:from>
    <xdr:to>
      <xdr:col>18</xdr:col>
      <xdr:colOff>138430</xdr:colOff>
      <xdr:row>14</xdr:row>
      <xdr:rowOff>243840</xdr:rowOff>
    </xdr:to>
    <xdr:sp macro="" textlink="">
      <xdr:nvSpPr>
        <xdr:cNvPr id="24" name="圆角矩形_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74200" y="3387725"/>
          <a:ext cx="1979930" cy="723265"/>
        </a:xfrm>
        <a:prstGeom prst="roundRect">
          <a:avLst>
            <a:gd name="adj" fmla="val 11904"/>
          </a:avLst>
        </a:prstGeom>
        <a:gradFill>
          <a:gsLst>
            <a:gs pos="42000">
              <a:srgbClr val="88CBCC"/>
            </a:gs>
            <a:gs pos="0">
              <a:srgbClr val="ADDBDC"/>
            </a:gs>
            <a:gs pos="100000">
              <a:srgbClr val="62BBBB"/>
            </a:gs>
          </a:gsLst>
          <a:lin scaled="1"/>
        </a:gra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 sz="1800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总计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485775</xdr:colOff>
      <xdr:row>2</xdr:row>
      <xdr:rowOff>41275</xdr:rowOff>
    </xdr:from>
    <xdr:to>
      <xdr:col>15</xdr:col>
      <xdr:colOff>704850</xdr:colOff>
      <xdr:row>3</xdr:row>
      <xdr:rowOff>60325</xdr:rowOff>
    </xdr:to>
    <xdr:sp macro="[0]!D01NDSUMP" textlink="">
      <xdr:nvSpPr>
        <xdr:cNvPr id="9" name="圆角矩形_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810875" y="546100"/>
          <a:ext cx="952500" cy="323850"/>
        </a:xfrm>
        <a:prstGeom prst="roundRect">
          <a:avLst>
            <a:gd name="adj" fmla="val 11904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12700" dist="50800" dir="2700000" algn="tl" rotWithShape="0">
            <a:prstClr val="black">
              <a:alpha val="11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>
              <a:latin typeface="微软雅黑" panose="020B0503020204020204" pitchFamily="34" charset="-122"/>
              <a:ea typeface="微软雅黑" panose="020B0503020204020204" pitchFamily="34" charset="-122"/>
            </a:rPr>
            <a:t>打印</a:t>
          </a:r>
        </a:p>
      </xdr:txBody>
    </xdr:sp>
    <xdr:clientData fPrintsWithSheet="0"/>
  </xdr:twoCellAnchor>
  <xdr:twoCellAnchor>
    <xdr:from>
      <xdr:col>2</xdr:col>
      <xdr:colOff>296545</xdr:colOff>
      <xdr:row>6</xdr:row>
      <xdr:rowOff>288925</xdr:rowOff>
    </xdr:from>
    <xdr:to>
      <xdr:col>15</xdr:col>
      <xdr:colOff>723265</xdr:colOff>
      <xdr:row>17</xdr:row>
      <xdr:rowOff>185420</xdr:rowOff>
    </xdr:to>
    <xdr:graphicFrame macro="">
      <xdr:nvGraphicFramePr>
        <xdr:cNvPr id="6" name="图表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88900</xdr:colOff>
      <xdr:row>5</xdr:row>
      <xdr:rowOff>34925</xdr:rowOff>
    </xdr:from>
    <xdr:to>
      <xdr:col>4</xdr:col>
      <xdr:colOff>69850</xdr:colOff>
      <xdr:row>5</xdr:row>
      <xdr:rowOff>343535</xdr:rowOff>
    </xdr:to>
    <xdr:sp macro="" textlink="">
      <xdr:nvSpPr>
        <xdr:cNvPr id="7" name="圆角矩形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346960" y="1965325"/>
          <a:ext cx="714375" cy="308610"/>
        </a:xfrm>
        <a:prstGeom prst="roundRect">
          <a:avLst/>
        </a:prstGeom>
        <a:solidFill>
          <a:srgbClr val="6ABEB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tx1">
                  <a:lumMod val="85000"/>
                  <a:lumOff val="1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总收入</a:t>
          </a:r>
        </a:p>
      </xdr:txBody>
    </xdr:sp>
    <xdr:clientData/>
  </xdr:twoCellAnchor>
  <xdr:twoCellAnchor>
    <xdr:from>
      <xdr:col>6</xdr:col>
      <xdr:colOff>717550</xdr:colOff>
      <xdr:row>5</xdr:row>
      <xdr:rowOff>34925</xdr:rowOff>
    </xdr:from>
    <xdr:to>
      <xdr:col>7</xdr:col>
      <xdr:colOff>698500</xdr:colOff>
      <xdr:row>5</xdr:row>
      <xdr:rowOff>343535</xdr:rowOff>
    </xdr:to>
    <xdr:sp macro="" textlink="">
      <xdr:nvSpPr>
        <xdr:cNvPr id="8" name="圆角矩形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175885" y="1965325"/>
          <a:ext cx="714375" cy="308610"/>
        </a:xfrm>
        <a:prstGeom prst="roundRect">
          <a:avLst/>
        </a:prstGeom>
        <a:solidFill>
          <a:srgbClr val="285C5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总支出</a:t>
          </a:r>
        </a:p>
      </xdr:txBody>
    </xdr:sp>
    <xdr:clientData/>
  </xdr:twoCellAnchor>
  <xdr:twoCellAnchor>
    <xdr:from>
      <xdr:col>4</xdr:col>
      <xdr:colOff>631825</xdr:colOff>
      <xdr:row>2</xdr:row>
      <xdr:rowOff>225425</xdr:rowOff>
    </xdr:from>
    <xdr:to>
      <xdr:col>5</xdr:col>
      <xdr:colOff>308610</xdr:colOff>
      <xdr:row>4</xdr:row>
      <xdr:rowOff>28575</xdr:rowOff>
    </xdr:to>
    <xdr:pic>
      <xdr:nvPicPr>
        <xdr:cNvPr id="10" name="图片 5" descr="2025592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23310" y="1241425"/>
          <a:ext cx="410210" cy="4127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11</xdr:col>
      <xdr:colOff>6350</xdr:colOff>
      <xdr:row>5</xdr:row>
      <xdr:rowOff>44450</xdr:rowOff>
    </xdr:from>
    <xdr:to>
      <xdr:col>11</xdr:col>
      <xdr:colOff>720725</xdr:colOff>
      <xdr:row>5</xdr:row>
      <xdr:rowOff>353060</xdr:rowOff>
    </xdr:to>
    <xdr:sp macro="" textlink="">
      <xdr:nvSpPr>
        <xdr:cNvPr id="2" name="圆角矩形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131810" y="1974850"/>
          <a:ext cx="714375" cy="308610"/>
        </a:xfrm>
        <a:prstGeom prst="roundRect">
          <a:avLst/>
        </a:prstGeom>
        <a:solidFill>
          <a:srgbClr val="FA541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总利润</a:t>
          </a:r>
        </a:p>
      </xdr:txBody>
    </xdr:sp>
    <xdr:clientData/>
  </xdr:twoCellAnchor>
  <xdr:twoCellAnchor editAs="absolute">
    <xdr:from>
      <xdr:col>13</xdr:col>
      <xdr:colOff>180975</xdr:colOff>
      <xdr:row>2</xdr:row>
      <xdr:rowOff>41275</xdr:rowOff>
    </xdr:from>
    <xdr:to>
      <xdr:col>14</xdr:col>
      <xdr:colOff>347345</xdr:colOff>
      <xdr:row>3</xdr:row>
      <xdr:rowOff>60325</xdr:rowOff>
    </xdr:to>
    <xdr:sp macro="[0]!A03SUM" textlink="">
      <xdr:nvSpPr>
        <xdr:cNvPr id="16" name="圆角矩形_2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72650" y="546100"/>
          <a:ext cx="899795" cy="323850"/>
        </a:xfrm>
        <a:prstGeom prst="roundRect">
          <a:avLst>
            <a:gd name="adj" fmla="val 11904"/>
          </a:avLst>
        </a:prstGeom>
        <a:solidFill>
          <a:srgbClr val="6ABEBE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查询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211628</xdr:rowOff>
    </xdr:from>
    <xdr:to>
      <xdr:col>1</xdr:col>
      <xdr:colOff>0</xdr:colOff>
      <xdr:row>11</xdr:row>
      <xdr:rowOff>84455</xdr:rowOff>
    </xdr:to>
    <xdr:grpSp>
      <xdr:nvGrpSpPr>
        <xdr:cNvPr id="17" name="组合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021253"/>
          <a:ext cx="1647825" cy="2406477"/>
          <a:chOff x="-14" y="1552"/>
          <a:chExt cx="2575" cy="3786"/>
        </a:xfrm>
      </xdr:grpSpPr>
      <xdr:sp macro="" textlink="">
        <xdr:nvSpPr>
          <xdr:cNvPr id="18" name="rectangle_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-14" y="1552"/>
            <a:ext cx="2574" cy="65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chemeClr val="accent6">
                    <a:lumMod val="40000"/>
                    <a:lumOff val="60000"/>
                  </a:schemeClr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altLang="zh-CN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返回首页</a:t>
            </a:r>
          </a:p>
        </xdr:txBody>
      </xdr:sp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-14" y="2204"/>
            <a:ext cx="2574" cy="62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0F2F5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288290" tIns="0" rIns="0" bIns="0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b="1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汇总查询</a:t>
            </a:r>
          </a:p>
        </xdr:txBody>
      </xdr:sp>
      <xdr:sp macro="" textlink="">
        <xdr:nvSpPr>
          <xdr:cNvPr id="20" name="rectangle_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-14" y="2826"/>
            <a:ext cx="2575" cy="634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收入汇总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21" name="rectangle_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-14" y="3457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支出汇总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22" name="rectangle_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-14" y="4083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收支看板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23" name="rectangle_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-14" y="4709"/>
            <a:ext cx="2575" cy="629"/>
          </a:xfrm>
          <a:prstGeom prst="rect">
            <a:avLst/>
          </a:prstGeom>
          <a:solidFill>
            <a:srgbClr val="E6F7FF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年度报告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400050</xdr:colOff>
      <xdr:row>2</xdr:row>
      <xdr:rowOff>95250</xdr:rowOff>
    </xdr:from>
    <xdr:to>
      <xdr:col>17</xdr:col>
      <xdr:colOff>490220</xdr:colOff>
      <xdr:row>3</xdr:row>
      <xdr:rowOff>219075</xdr:rowOff>
    </xdr:to>
    <xdr:sp macro="[0]!D02QTP" textlink="">
      <xdr:nvSpPr>
        <xdr:cNvPr id="11" name="圆角矩形_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211175" y="600075"/>
          <a:ext cx="899795" cy="323850"/>
        </a:xfrm>
        <a:prstGeom prst="roundRect">
          <a:avLst>
            <a:gd name="adj" fmla="val 11904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12700" dist="50800" dir="2700000" algn="tl" rotWithShape="0">
            <a:prstClr val="black">
              <a:alpha val="11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>
              <a:latin typeface="微软雅黑" panose="020B0503020204020204" pitchFamily="34" charset="-122"/>
              <a:ea typeface="微软雅黑" panose="020B0503020204020204" pitchFamily="34" charset="-122"/>
            </a:rPr>
            <a:t>打印</a:t>
          </a:r>
        </a:p>
      </xdr:txBody>
    </xdr:sp>
    <xdr:clientData fPrintsWithSheet="0"/>
  </xdr:twoCellAnchor>
  <xdr:twoCellAnchor editAs="absolute">
    <xdr:from>
      <xdr:col>15</xdr:col>
      <xdr:colOff>153035</xdr:colOff>
      <xdr:row>2</xdr:row>
      <xdr:rowOff>95250</xdr:rowOff>
    </xdr:from>
    <xdr:to>
      <xdr:col>16</xdr:col>
      <xdr:colOff>243205</xdr:colOff>
      <xdr:row>3</xdr:row>
      <xdr:rowOff>219075</xdr:rowOff>
    </xdr:to>
    <xdr:sp macro="[0]!A03SUM" textlink="">
      <xdr:nvSpPr>
        <xdr:cNvPr id="2" name="圆角矩形_2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154535" y="600075"/>
          <a:ext cx="899795" cy="323850"/>
        </a:xfrm>
        <a:prstGeom prst="roundRect">
          <a:avLst>
            <a:gd name="adj" fmla="val 11904"/>
          </a:avLst>
        </a:prstGeom>
        <a:solidFill>
          <a:srgbClr val="6ABEBE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查询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315595</xdr:rowOff>
    </xdr:from>
    <xdr:to>
      <xdr:col>1</xdr:col>
      <xdr:colOff>0</xdr:colOff>
      <xdr:row>14</xdr:row>
      <xdr:rowOff>176530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0" y="1020445"/>
          <a:ext cx="1647825" cy="2404110"/>
          <a:chOff x="-14" y="1552"/>
          <a:chExt cx="2575" cy="3786"/>
        </a:xfrm>
      </xdr:grpSpPr>
      <xdr:sp macro="" textlink="">
        <xdr:nvSpPr>
          <xdr:cNvPr id="4" name="rectangle_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-14" y="1552"/>
            <a:ext cx="2574" cy="65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chemeClr val="accent6">
                    <a:lumMod val="40000"/>
                    <a:lumOff val="60000"/>
                  </a:schemeClr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altLang="zh-CN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返回首页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-14" y="2204"/>
            <a:ext cx="2574" cy="62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0F2F5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288290" tIns="0" rIns="0" bIns="0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b="1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汇总查询</a:t>
            </a:r>
          </a:p>
        </xdr:txBody>
      </xdr:sp>
      <xdr:sp macro="" textlink="">
        <xdr:nvSpPr>
          <xdr:cNvPr id="6" name="rectangle_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-14" y="2826"/>
            <a:ext cx="2575" cy="634"/>
          </a:xfrm>
          <a:prstGeom prst="rect">
            <a:avLst/>
          </a:prstGeom>
          <a:solidFill>
            <a:srgbClr val="E6F7FF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收入汇总</a:t>
            </a:r>
          </a:p>
        </xdr:txBody>
      </xdr:sp>
      <xdr:sp macro="" textlink="">
        <xdr:nvSpPr>
          <xdr:cNvPr id="7" name="rectangle_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-14" y="3457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支出汇总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8" name="rectangle_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-14" y="4083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收支看板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9" name="rectangle_1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-14" y="4709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年度报告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419100</xdr:colOff>
      <xdr:row>2</xdr:row>
      <xdr:rowOff>104775</xdr:rowOff>
    </xdr:from>
    <xdr:to>
      <xdr:col>17</xdr:col>
      <xdr:colOff>509270</xdr:colOff>
      <xdr:row>3</xdr:row>
      <xdr:rowOff>228600</xdr:rowOff>
    </xdr:to>
    <xdr:sp macro="[0]!D02QTP" textlink="">
      <xdr:nvSpPr>
        <xdr:cNvPr id="2" name="圆角矩形_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801725" y="609600"/>
          <a:ext cx="899795" cy="323850"/>
        </a:xfrm>
        <a:prstGeom prst="roundRect">
          <a:avLst>
            <a:gd name="adj" fmla="val 11904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12700" dist="50800" dir="2700000" algn="tl" rotWithShape="0">
            <a:prstClr val="black">
              <a:alpha val="11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 anchorCtr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>
              <a:latin typeface="微软雅黑" panose="020B0503020204020204" pitchFamily="34" charset="-122"/>
              <a:ea typeface="微软雅黑" panose="020B0503020204020204" pitchFamily="34" charset="-122"/>
            </a:rPr>
            <a:t>打印</a:t>
          </a:r>
        </a:p>
      </xdr:txBody>
    </xdr:sp>
    <xdr:clientData fPrintsWithSheet="0"/>
  </xdr:twoCellAnchor>
  <xdr:twoCellAnchor editAs="absolute">
    <xdr:from>
      <xdr:col>15</xdr:col>
      <xdr:colOff>172085</xdr:colOff>
      <xdr:row>2</xdr:row>
      <xdr:rowOff>104775</xdr:rowOff>
    </xdr:from>
    <xdr:to>
      <xdr:col>16</xdr:col>
      <xdr:colOff>262255</xdr:colOff>
      <xdr:row>3</xdr:row>
      <xdr:rowOff>228600</xdr:rowOff>
    </xdr:to>
    <xdr:sp macro="[0]!A03SUM" textlink="">
      <xdr:nvSpPr>
        <xdr:cNvPr id="12" name="圆角矩形_2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2745085" y="609600"/>
          <a:ext cx="899795" cy="323850"/>
        </a:xfrm>
        <a:prstGeom prst="roundRect">
          <a:avLst>
            <a:gd name="adj" fmla="val 11904"/>
          </a:avLst>
        </a:prstGeom>
        <a:solidFill>
          <a:srgbClr val="6ABEBE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0" tIns="0" rIns="0" bIns="0" numCol="1" spcCol="0" rtlCol="0" fromWordArt="0" anchor="ctr" anchorCtr="1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buClrTx/>
            <a:buSzTx/>
            <a:buFontTx/>
          </a:pPr>
          <a:r>
            <a:rPr lang="zh-CN" altLang="en-US">
              <a:solidFill>
                <a:sysClr val="windowText" lastClr="000000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查询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315595</xdr:rowOff>
    </xdr:from>
    <xdr:to>
      <xdr:col>1</xdr:col>
      <xdr:colOff>0</xdr:colOff>
      <xdr:row>14</xdr:row>
      <xdr:rowOff>176530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0" y="1020445"/>
          <a:ext cx="1647825" cy="2404110"/>
          <a:chOff x="-14" y="1552"/>
          <a:chExt cx="2575" cy="3786"/>
        </a:xfrm>
      </xdr:grpSpPr>
      <xdr:sp macro="" textlink="">
        <xdr:nvSpPr>
          <xdr:cNvPr id="14" name="rectangle_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-14" y="1552"/>
            <a:ext cx="2574" cy="65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chemeClr val="accent6">
                    <a:lumMod val="40000"/>
                    <a:lumOff val="60000"/>
                  </a:schemeClr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altLang="zh-CN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返回首页</a:t>
            </a:r>
          </a:p>
        </xdr:txBody>
      </xdr:sp>
      <xdr:sp macro="" textlink="">
        <xdr:nvSpPr>
          <xdr:cNvPr id="15" name="矩形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-14" y="2204"/>
            <a:ext cx="2574" cy="62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0F2F5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288290" tIns="0" rIns="0" bIns="0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b="1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汇总查询</a:t>
            </a:r>
          </a:p>
        </xdr:txBody>
      </xdr:sp>
      <xdr:sp macro="" textlink="">
        <xdr:nvSpPr>
          <xdr:cNvPr id="16" name="rectangle_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-14" y="2826"/>
            <a:ext cx="2575" cy="634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收入汇总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7" name="rectangle_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-14" y="3457"/>
            <a:ext cx="2575" cy="629"/>
          </a:xfrm>
          <a:prstGeom prst="rect">
            <a:avLst/>
          </a:prstGeom>
          <a:solidFill>
            <a:srgbClr val="E6F7FF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支出汇总</a:t>
            </a:r>
          </a:p>
        </xdr:txBody>
      </xdr:sp>
      <xdr:sp macro="" textlink="">
        <xdr:nvSpPr>
          <xdr:cNvPr id="18" name="rectangle_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-14" y="4083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收支看板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9" name="rectangle_1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-14" y="4709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年度报告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3</xdr:col>
      <xdr:colOff>333375</xdr:colOff>
      <xdr:row>3</xdr:row>
      <xdr:rowOff>352425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日期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8575"/>
              <a:ext cx="3333750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0</xdr:row>
          <xdr:rowOff>66675</xdr:rowOff>
        </xdr:from>
        <xdr:to>
          <xdr:col>19</xdr:col>
          <xdr:colOff>771525</xdr:colOff>
          <xdr:row>0</xdr:row>
          <xdr:rowOff>438150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219075</xdr:colOff>
          <xdr:row>12</xdr:row>
          <xdr:rowOff>85725</xdr:rowOff>
        </xdr:to>
        <xdr:sp macro="" textlink="">
          <xdr:nvSpPr>
            <xdr:cNvPr id="24605" name="ListBox1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7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819150</xdr:colOff>
          <xdr:row>0</xdr:row>
          <xdr:rowOff>66675</xdr:rowOff>
        </xdr:from>
        <xdr:to>
          <xdr:col>15</xdr:col>
          <xdr:colOff>66675</xdr:colOff>
          <xdr:row>0</xdr:row>
          <xdr:rowOff>438150</xdr:rowOff>
        </xdr:to>
        <xdr:sp macro="" textlink="">
          <xdr:nvSpPr>
            <xdr:cNvPr id="24606" name="CommandButton2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7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0</xdr:row>
          <xdr:rowOff>66675</xdr:rowOff>
        </xdr:from>
        <xdr:to>
          <xdr:col>18</xdr:col>
          <xdr:colOff>771525</xdr:colOff>
          <xdr:row>0</xdr:row>
          <xdr:rowOff>438150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10</xdr:col>
          <xdr:colOff>838200</xdr:colOff>
          <xdr:row>17</xdr:row>
          <xdr:rowOff>0</xdr:rowOff>
        </xdr:to>
        <xdr:sp macro="" textlink="">
          <xdr:nvSpPr>
            <xdr:cNvPr id="9221" name="ListBox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222" name="TextBox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90488</xdr:colOff>
          <xdr:row>1</xdr:row>
          <xdr:rowOff>152400</xdr:rowOff>
        </xdr:from>
        <xdr:to>
          <xdr:col>6</xdr:col>
          <xdr:colOff>104775</xdr:colOff>
          <xdr:row>2</xdr:row>
          <xdr:rowOff>352425</xdr:rowOff>
        </xdr:to>
        <xdr:grpSp>
          <xdr:nvGrpSpPr>
            <xdr:cNvPr id="3" name="组合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pSpPr/>
          </xdr:nvGrpSpPr>
          <xdr:grpSpPr>
            <a:xfrm>
              <a:off x="2947988" y="438150"/>
              <a:ext cx="3805237" cy="371475"/>
              <a:chOff x="2967038" y="342900"/>
              <a:chExt cx="3805237" cy="371475"/>
            </a:xfrm>
          </xdr:grpSpPr>
          <xdr:sp macro="" textlink="">
            <xdr:nvSpPr>
              <xdr:cNvPr id="9228" name="CommandButton4" hidden="1">
                <a:extLst>
                  <a:ext uri="{63B3BB69-23CF-44E3-9099-C40C66FF867C}">
                    <a14:compatExt spid="_x0000_s9228"/>
                  </a:ext>
                  <a:ext uri="{FF2B5EF4-FFF2-40B4-BE49-F238E27FC236}">
                    <a16:creationId xmlns:a16="http://schemas.microsoft.com/office/drawing/2014/main" id="{00000000-0008-0000-0A00-00000C240000}"/>
                  </a:ext>
                </a:extLst>
              </xdr:cNvPr>
              <xdr:cNvSpPr/>
            </xdr:nvSpPr>
            <xdr:spPr bwMode="auto">
              <a:xfrm>
                <a:off x="5867400" y="342900"/>
                <a:ext cx="904875" cy="3714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217" name="CommandButton1" hidden="1">
                <a:extLst>
                  <a:ext uri="{63B3BB69-23CF-44E3-9099-C40C66FF867C}">
                    <a14:compatExt spid="_x0000_s9217"/>
                  </a:ext>
                  <a:ext uri="{FF2B5EF4-FFF2-40B4-BE49-F238E27FC236}">
                    <a16:creationId xmlns:a16="http://schemas.microsoft.com/office/drawing/2014/main" id="{00000000-0008-0000-0A00-000001240000}"/>
                  </a:ext>
                </a:extLst>
              </xdr:cNvPr>
              <xdr:cNvSpPr/>
            </xdr:nvSpPr>
            <xdr:spPr bwMode="auto">
              <a:xfrm>
                <a:off x="3933825" y="342900"/>
                <a:ext cx="904875" cy="3714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219" name="CommandButton2" hidden="1">
                <a:extLst>
                  <a:ext uri="{63B3BB69-23CF-44E3-9099-C40C66FF867C}">
                    <a14:compatExt spid="_x0000_s9219"/>
                  </a:ext>
                  <a:ext uri="{FF2B5EF4-FFF2-40B4-BE49-F238E27FC236}">
                    <a16:creationId xmlns:a16="http://schemas.microsoft.com/office/drawing/2014/main" id="{00000000-0008-0000-0A00-000003240000}"/>
                  </a:ext>
                </a:extLst>
              </xdr:cNvPr>
              <xdr:cNvSpPr/>
            </xdr:nvSpPr>
            <xdr:spPr bwMode="auto">
              <a:xfrm>
                <a:off x="2967038" y="342900"/>
                <a:ext cx="904875" cy="3714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9227" name="CommandButton3" hidden="1">
                <a:extLst>
                  <a:ext uri="{63B3BB69-23CF-44E3-9099-C40C66FF867C}">
                    <a14:compatExt spid="_x0000_s9227"/>
                  </a:ext>
                  <a:ext uri="{FF2B5EF4-FFF2-40B4-BE49-F238E27FC236}">
                    <a16:creationId xmlns:a16="http://schemas.microsoft.com/office/drawing/2014/main" id="{00000000-0008-0000-0A00-00000B240000}"/>
                  </a:ext>
                </a:extLst>
              </xdr:cNvPr>
              <xdr:cNvSpPr/>
            </xdr:nvSpPr>
            <xdr:spPr bwMode="auto">
              <a:xfrm>
                <a:off x="4900612" y="342900"/>
                <a:ext cx="904875" cy="3714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9180</xdr:rowOff>
    </xdr:from>
    <xdr:to>
      <xdr:col>1</xdr:col>
      <xdr:colOff>0</xdr:colOff>
      <xdr:row>15</xdr:row>
      <xdr:rowOff>27306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0" y="1018830"/>
          <a:ext cx="1647825" cy="2399376"/>
          <a:chOff x="-14" y="1552"/>
          <a:chExt cx="2575" cy="3786"/>
        </a:xfrm>
      </xdr:grpSpPr>
      <xdr:sp macro="" textlink="">
        <xdr:nvSpPr>
          <xdr:cNvPr id="11" name="rectangle_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-14" y="1552"/>
            <a:ext cx="2574" cy="65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chemeClr val="accent6">
                    <a:lumMod val="40000"/>
                    <a:lumOff val="60000"/>
                  </a:schemeClr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altLang="zh-CN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b="1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返回首页</a:t>
            </a:r>
          </a:p>
        </xdr:txBody>
      </xdr:sp>
      <xdr:sp macro="" textlink="">
        <xdr:nvSpPr>
          <xdr:cNvPr id="12" name="矩形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-14" y="2204"/>
            <a:ext cx="2574" cy="622"/>
          </a:xfrm>
          <a:prstGeom prst="rect">
            <a:avLst/>
          </a:prstGeom>
          <a:noFill/>
          <a:ln>
            <a:noFill/>
          </a:ln>
          <a:effectLst>
            <a:outerShdw blurRad="127000" dist="38100" dir="5400000" algn="t" rotWithShape="0">
              <a:schemeClr val="accent1">
                <a:lumMod val="50000"/>
                <a:alpha val="2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0F2F5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288290" tIns="0" rIns="0" bIns="0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b="1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收支录入</a:t>
            </a:r>
          </a:p>
        </xdr:txBody>
      </xdr:sp>
      <xdr:sp macro="" textlink="">
        <xdr:nvSpPr>
          <xdr:cNvPr id="13" name="rectangle_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-14" y="2826"/>
            <a:ext cx="2575" cy="634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收入明细</a:t>
            </a:r>
          </a:p>
        </xdr:txBody>
      </xdr:sp>
      <xdr:sp macro="" textlink="">
        <xdr:nvSpPr>
          <xdr:cNvPr id="14" name="rectangle_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/>
        </xdr:nvSpPr>
        <xdr:spPr>
          <a:xfrm>
            <a:off x="-14" y="3457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支出明细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15" name="rectangle_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-14" y="4083"/>
            <a:ext cx="2575" cy="629"/>
          </a:xfrm>
          <a:prstGeom prst="rect">
            <a:avLst/>
          </a:prstGeom>
          <a:solidFill>
            <a:srgbClr val="E6F7FF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rgbClr val="1890FF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参数配置</a:t>
            </a:r>
          </a:p>
        </xdr:txBody>
      </xdr:sp>
      <xdr:sp macro="" textlink="">
        <xdr:nvSpPr>
          <xdr:cNvPr id="16" name="rectangle_1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SpPr/>
        </xdr:nvSpPr>
        <xdr:spPr>
          <a:xfrm>
            <a:off x="-14" y="4709"/>
            <a:ext cx="2575" cy="629"/>
          </a:xfrm>
          <a:prstGeom prst="rect">
            <a:avLst/>
          </a:prstGeom>
          <a:solidFill>
            <a:schemeClr val="bg1">
              <a:alpha val="14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vert="horz" wrap="square" lIns="288290" tIns="0" rIns="0" bIns="0" numCol="1" spcCol="0" rtlCol="0" fromWordArt="0" anchor="ctr" anchorCtr="0" forceAA="0" compatLnSpc="1">
            <a:noAutofit/>
          </a:bodyPr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buClrTx/>
              <a:buSzTx/>
              <a:buFontTx/>
            </a:pPr>
            <a:r>
              <a:rPr lang="en-US" altLang="zh-CN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      </a:t>
            </a:r>
            <a:r>
              <a:rPr lang="zh-CN" altLang="en-US" sz="1100" b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使用说明</a:t>
            </a:r>
            <a:endPara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085;&#24120;&#25910;&#25903;&#24405;&#20837;&#21450;&#26126;&#3245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总计"/>
      <sheetName val="年度报告"/>
      <sheetName val="收入明细"/>
      <sheetName val="支出明细"/>
      <sheetName val="收入汇总"/>
      <sheetName val="支出汇总"/>
      <sheetName val="收支看板"/>
      <sheetName val="2021.01"/>
      <sheetName val="01单据录入"/>
      <sheetName val="00参数配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U6">
            <v>5261</v>
          </cell>
        </row>
        <row r="7">
          <cell r="U7">
            <v>1159</v>
          </cell>
        </row>
        <row r="8">
          <cell r="U8">
            <v>4102</v>
          </cell>
        </row>
      </sheetData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糜星亮" refreshedDate="44332.811452314818" createdVersion="7" refreshedVersion="7" minRefreshableVersion="3" recordCount="4" xr:uid="{44A1A888-1C43-453A-8980-149A63FA33D6}">
  <cacheSource type="worksheet">
    <worksheetSource name="年度明细"/>
  </cacheSource>
  <cacheFields count="18">
    <cacheField name="序号" numFmtId="0">
      <sharedItems containsSemiMixedTypes="0" containsString="0" containsNumber="1" containsInteger="1" minValue="1" maxValue="7" count="7">
        <n v="1"/>
        <n v="2"/>
        <n v="3"/>
        <n v="4"/>
        <n v="5" u="1"/>
        <n v="6" u="1"/>
        <n v="7" u="1"/>
      </sharedItems>
    </cacheField>
    <cacheField name="日期" numFmtId="14">
      <sharedItems containsSemiMixedTypes="0" containsNonDate="0" containsDate="1" containsString="0" minDate="2020-02-03T00:00:00" maxDate="2021-05-17T00:00:00" count="3">
        <d v="2021-05-16T00:00:00"/>
        <d v="2020-02-03T00:00:00" u="1"/>
        <d v="2020-02-04T00:00:00" u="1"/>
      </sharedItems>
      <fieldGroup par="17" base="1">
        <rangePr groupBy="months" startDate="2020-02-03T00:00:00" endDate="2021-05-17T00:00:00"/>
        <groupItems count="14">
          <s v="&lt;2020/2/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5/17"/>
        </groupItems>
      </fieldGroup>
    </cacheField>
    <cacheField name="摘要" numFmtId="49">
      <sharedItems containsBlank="1" count="3">
        <s v="玻璃门"/>
        <s v="防盗门"/>
        <m u="1"/>
      </sharedItems>
    </cacheField>
    <cacheField name="收入支出类别" numFmtId="49">
      <sharedItems containsBlank="1" count="3">
        <s v="采购支出-订单支出-原材料"/>
        <m u="1"/>
        <s v="采购支出-物料采购" u="1"/>
      </sharedItems>
    </cacheField>
    <cacheField name="收付款帐号" numFmtId="49">
      <sharedItems containsBlank="1" count="2">
        <s v="招行"/>
        <m u="1"/>
      </sharedItems>
    </cacheField>
    <cacheField name="合同编号" numFmtId="49">
      <sharedItems containsBlank="1" count="3">
        <s v="J1491"/>
        <m u="1"/>
        <s v="J1492" u="1"/>
      </sharedItems>
    </cacheField>
    <cacheField name="客户" numFmtId="49">
      <sharedItems containsBlank="1" count="3">
        <s v="聂辉"/>
        <m u="1"/>
        <s v="周姐" u="1"/>
      </sharedItems>
    </cacheField>
    <cacheField name="客户地址" numFmtId="49">
      <sharedItems containsBlank="1" count="3">
        <s v="红谷新城K-26-1-2404"/>
        <m u="1"/>
        <s v="绿地悦城F区68-1101" u="1"/>
      </sharedItems>
    </cacheField>
    <cacheField name="供应商" numFmtId="49">
      <sharedItems containsBlank="1" count="3">
        <s v="上海柏森"/>
        <s v="欧蓝德"/>
        <m u="1"/>
      </sharedItems>
    </cacheField>
    <cacheField name="销售门店" numFmtId="49">
      <sharedItems containsBlank="1" count="2">
        <s v="1店"/>
        <m/>
      </sharedItems>
    </cacheField>
    <cacheField name="付款金额" numFmtId="43">
      <sharedItems containsSemiMixedTypes="0" containsString="0" containsNumber="1" minValue="1000" maxValue="1184.5999999999999"/>
    </cacheField>
    <cacheField name="收款金额" numFmtId="43">
      <sharedItems containsNonDate="0" containsString="0" containsBlank="1"/>
    </cacheField>
    <cacheField name="收款人" numFmtId="49">
      <sharedItems containsNonDate="0" containsString="0" containsBlank="1" count="1">
        <m/>
      </sharedItems>
    </cacheField>
    <cacheField name="农行余额" numFmtId="49">
      <sharedItems containsNonDate="0" containsString="0" containsBlank="1"/>
    </cacheField>
    <cacheField name="招行余额" numFmtId="49">
      <sharedItems containsSemiMixedTypes="0" containsString="0" containsNumber="1" minValue="162027.56" maxValue="165212.16"/>
    </cacheField>
    <cacheField name="收付款金额" numFmtId="0" formula="付款金额+收款金额" databaseField="0"/>
    <cacheField name="季度" numFmtId="0" databaseField="0">
      <fieldGroup base="1">
        <rangePr groupBy="quarters" startDate="2020-02-03T00:00:00" endDate="2021-05-17T00:00:00"/>
        <groupItems count="6">
          <s v="&lt;2020/2/3"/>
          <s v="第一季"/>
          <s v="第二季"/>
          <s v="第三季"/>
          <s v="第四季"/>
          <s v="&gt;2021/5/17"/>
        </groupItems>
      </fieldGroup>
    </cacheField>
    <cacheField name="年" numFmtId="0" databaseField="0">
      <fieldGroup base="1">
        <rangePr groupBy="years" startDate="2020-02-03T00:00:00" endDate="2021-05-17T00:00:00"/>
        <groupItems count="4">
          <s v="&lt;2020/2/3"/>
          <s v="2020年"/>
          <s v="2021年"/>
          <s v="&gt;2021/5/17"/>
        </groupItems>
      </fieldGroup>
    </cacheField>
  </cacheFields>
  <extLst>
    <ext xmlns:x14="http://schemas.microsoft.com/office/spreadsheetml/2009/9/main" uri="{725AE2AE-9491-48be-B2B4-4EB974FC3084}">
      <x14:pivotCacheDefinition pivotCacheId="14160117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n v="1184.5999999999999"/>
    <m/>
    <x v="0"/>
    <m/>
    <n v="165212.16"/>
  </r>
  <r>
    <x v="1"/>
    <x v="0"/>
    <x v="1"/>
    <x v="0"/>
    <x v="0"/>
    <x v="0"/>
    <x v="0"/>
    <x v="0"/>
    <x v="1"/>
    <x v="1"/>
    <n v="1000"/>
    <m/>
    <x v="0"/>
    <m/>
    <n v="164212.16"/>
  </r>
  <r>
    <x v="2"/>
    <x v="0"/>
    <x v="0"/>
    <x v="0"/>
    <x v="0"/>
    <x v="0"/>
    <x v="0"/>
    <x v="0"/>
    <x v="0"/>
    <x v="0"/>
    <n v="1184.5999999999999"/>
    <m/>
    <x v="0"/>
    <m/>
    <n v="163027.56"/>
  </r>
  <r>
    <x v="3"/>
    <x v="0"/>
    <x v="1"/>
    <x v="0"/>
    <x v="0"/>
    <x v="0"/>
    <x v="0"/>
    <x v="0"/>
    <x v="1"/>
    <x v="1"/>
    <n v="1000"/>
    <m/>
    <x v="0"/>
    <m/>
    <n v="162027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133C1-1545-4C36-9699-9C362E056D70}" name="数据透视表2" cacheId="0" applyNumberFormats="0" applyBorderFormats="0" applyFontFormats="0" applyPatternFormats="0" applyAlignmentFormats="0" applyWidthHeightFormats="1" dataCaption="值" updatedVersion="7" minRefreshableVersion="5" showDrill="0" useAutoFormatting="1" rowGrandTotals="0" colGrandTotals="0" itemPrintTitles="1" createdVersion="7" indent="0" compact="0" compactData="0" multipleFieldFilters="0">
  <location ref="A5:E7" firstHeaderRow="1" firstDataRow="2" firstDataCol="3"/>
  <pivotFields count="18">
    <pivotField compact="0" outline="0" subtotalTop="0" showAll="0" defaultSubtotal="0">
      <items count="7">
        <item x="0"/>
        <item x="1"/>
        <item x="2"/>
        <item x="3"/>
        <item m="1" x="4"/>
        <item m="1" x="5"/>
        <item m="1" x="6"/>
      </items>
    </pivotField>
    <pivotField axis="axisRow"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3">
        <item x="0"/>
        <item x="1"/>
        <item m="1" x="2"/>
      </items>
    </pivotField>
    <pivotField compact="0" outline="0" subtotalTop="0" showAll="0" defaultSubtotal="0">
      <items count="3">
        <item x="0"/>
        <item m="1" x="2"/>
        <item m="1" x="1"/>
      </items>
    </pivotField>
    <pivotField compact="0" outline="0" subtotalTop="0" showAll="0" defaultSubtotal="0">
      <items count="2">
        <item x="0"/>
        <item m="1" x="1"/>
      </items>
    </pivotField>
    <pivotField axis="axisRow" compact="0" outline="0" subtotalTop="0" showAll="0" defaultSubtotal="0">
      <items count="3">
        <item x="0"/>
        <item m="1" x="2"/>
        <item m="1" x="1"/>
      </items>
    </pivotField>
    <pivotField compact="0" outline="0" subtotalTop="0" showAll="0" defaultSubtotal="0">
      <items count="3">
        <item x="0"/>
        <item m="1" x="2"/>
        <item m="1" x="1"/>
      </items>
    </pivotField>
    <pivotField axis="axisRow" compact="0" outline="0" subtotalTop="0" showAll="0" defaultSubtotal="0">
      <items count="3">
        <item x="0"/>
        <item m="1" x="2"/>
        <item m="1" x="1"/>
      </items>
    </pivotField>
    <pivotField axis="axisCol" compact="0" outline="0" subtotalTop="0" showAll="0" defaultSubtotal="0">
      <items count="3">
        <item x="1"/>
        <item x="0"/>
        <item m="1" x="2"/>
      </items>
    </pivotField>
    <pivotField compact="0" outline="0" subtotalTop="0" showAll="0" defaultSubtotal="0">
      <items count="2">
        <item x="0"/>
        <item x="1"/>
      </items>
    </pivotField>
    <pivotField compact="0" numFmtId="43" outline="0" subtotalTop="0" showAll="0" defaultSubtotal="0"/>
    <pivotField compact="0" outline="0" subtotalTop="0" showAll="0" defaultSubtotal="0"/>
    <pivotField compact="0" outline="0" subtotalTop="0" showAll="0" defaultSubtotal="0">
      <items count="1">
        <item x="0"/>
      </items>
    </pivotField>
    <pivotField compact="0" outline="0" subtotalTop="0" showAll="0" defaultSubtotal="0"/>
    <pivotField compact="0" numFmtId="49" outline="0" subtotalTop="0" showAll="0" defaultSubtotal="0"/>
    <pivotField dataField="1" compact="0" outline="0" subtotalTop="0" dragToRow="0" dragToCol="0" dragToPag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3">
    <field x="1"/>
    <field x="5"/>
    <field x="7"/>
  </rowFields>
  <rowItems count="1">
    <i>
      <x v="5"/>
      <x/>
      <x/>
    </i>
  </rowItems>
  <colFields count="1">
    <field x="8"/>
  </colFields>
  <colItems count="2">
    <i>
      <x/>
    </i>
    <i>
      <x v="1"/>
    </i>
  </colItems>
  <dataFields count="1">
    <dataField name="求和项:收付款金额" fld="15" baseField="0" baseItem="0" numFmtId="43"/>
  </dataFields>
  <formats count="12">
    <format dxfId="46">
      <pivotArea field="0" type="button" dataOnly="0" labelOnly="1" outline="0"/>
    </format>
    <format dxfId="45">
      <pivotArea field="1" type="button" dataOnly="0" labelOnly="1" outline="0" axis="axisRow" fieldPosition="0"/>
    </format>
    <format dxfId="44">
      <pivotArea field="2" type="button" dataOnly="0" labelOnly="1" outline="0"/>
    </format>
    <format dxfId="43">
      <pivotArea field="4" type="button" dataOnly="0" labelOnly="1" outline="0"/>
    </format>
    <format dxfId="42">
      <pivotArea field="5" type="button" dataOnly="0" labelOnly="1" outline="0" axis="axisRow" fieldPosition="1"/>
    </format>
    <format dxfId="41">
      <pivotArea field="6" type="button" dataOnly="0" labelOnly="1" outline="0"/>
    </format>
    <format dxfId="40">
      <pivotArea field="7" type="button" dataOnly="0" labelOnly="1" outline="0" axis="axisRow" fieldPosition="2"/>
    </format>
    <format dxfId="39">
      <pivotArea field="8" type="button" dataOnly="0" labelOnly="1" outline="0" axis="axisCol" fieldPosition="0"/>
    </format>
    <format dxfId="38">
      <pivotArea field="9" type="button" dataOnly="0" labelOnly="1" outline="0"/>
    </format>
    <format dxfId="37">
      <pivotArea field="12" type="button" dataOnly="0" labelOnly="1" outline="0"/>
    </format>
    <format dxfId="36">
      <pivotArea type="origin" dataOnly="0" labelOnly="1" outline="0" fieldPosition="0"/>
    </format>
    <format dxfId="35">
      <pivotArea field="3" type="button" dataOnly="0" labelOnly="1" outline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74E571-63A1-478D-837C-F81D4DB4CE99}" name="年度明细" displayName="年度明细" ref="A1:O5" totalsRowShown="0" headerRowDxfId="25">
  <autoFilter ref="A1:O5" xr:uid="{99DCA985-11BB-4A8B-B994-3B55A57862C2}"/>
  <tableColumns count="15">
    <tableColumn id="1" xr3:uid="{2F0E4E28-7CBD-48E5-A883-CE4AA2B3DA5F}" name="序号"/>
    <tableColumn id="2" xr3:uid="{3A409E89-0D22-4EAC-8D04-EE92CA87C524}" name="日期" dataDxfId="24"/>
    <tableColumn id="3" xr3:uid="{71252A8C-CD23-481C-BFFA-49B7BF139FD5}" name="摘要" dataDxfId="23"/>
    <tableColumn id="4" xr3:uid="{A6B7C573-7609-48DF-B418-E1158035927C}" name="收入支出类别" dataDxfId="22"/>
    <tableColumn id="5" xr3:uid="{DFB4654E-E6DD-4634-9CDE-01673BF27798}" name="收付款帐号" dataDxfId="21"/>
    <tableColumn id="6" xr3:uid="{1135B943-5145-460C-B517-398620735446}" name="合同编号" dataDxfId="20"/>
    <tableColumn id="7" xr3:uid="{4142CCC4-10EC-4AD2-8E05-450EAE6E9BF3}" name="客户" dataDxfId="19"/>
    <tableColumn id="8" xr3:uid="{D7740F7A-F0D6-4648-841F-E7B0A9F13D19}" name="客户地址" dataDxfId="18"/>
    <tableColumn id="9" xr3:uid="{F5408D0F-40BA-4578-A54C-BCD4AEC5BB69}" name="供应商" dataDxfId="17"/>
    <tableColumn id="10" xr3:uid="{14DA320A-728C-4A75-B762-B741925BB555}" name="销售门店" dataDxfId="16"/>
    <tableColumn id="11" xr3:uid="{C64F4229-E84C-443B-8BE9-41493FBC2F4F}" name="付款金额" dataDxfId="15"/>
    <tableColumn id="12" xr3:uid="{E67DA1F0-7FA3-40CB-8446-3D92626D67B6}" name="收款金额" dataDxfId="14"/>
    <tableColumn id="13" xr3:uid="{7A7FEE03-69D8-4F22-B614-CBB54675ED88}" name="收款人" dataDxfId="13"/>
    <tableColumn id="14" xr3:uid="{A32B3699-4E4C-4798-8E01-D0AB27E5601C}" name="农行余额" dataDxfId="12"/>
    <tableColumn id="15" xr3:uid="{9AE07A99-C5D5-400A-93C7-859A360136D2}" name="招行余额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E6F7FF"/>
        </a:solidFill>
        <a:ln>
          <a:noFill/>
        </a:ln>
        <a:effectLst>
          <a:outerShdw blurRad="127000" dist="38100" dir="5400000" algn="t" rotWithShape="0">
            <a:schemeClr val="accent1">
              <a:lumMod val="50000"/>
              <a:alpha val="20000"/>
            </a:schemeClr>
          </a:outerShdw>
        </a:effectLst>
      </a:spPr>
      <a:bodyPr vertOverflow="clip" horzOverflow="clip" wrap="square" lIns="90170" tIns="46990" rIns="90170" bIns="46990" rtlCol="0" anchor="ctr"/>
      <a:lstStyle>
        <a:defPPr algn="ctr">
          <a:defRPr lang="zh-CN" altLang="en-US" sz="1000" b="0">
            <a:solidFill>
              <a:srgbClr val="1890FF"/>
            </a:solidFill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" xr10:uid="{771D712F-03C8-4FC0-8BB9-C90A2F547267}" sourceName="日期">
  <pivotTables>
    <pivotTable tabId="30" name="数据透视表2"/>
  </pivotTables>
  <state minimalRefreshVersion="6" lastRefreshVersion="6" pivotCacheId="1416011798" filterType="unknown">
    <bounds startDate="2020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1" xr10:uid="{3857798E-E83F-4F25-AF8B-FB26DE7F9253}" cache="NativeTimeline_日期" caption="日期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8.xml"/><Relationship Id="rId16" Type="http://schemas.openxmlformats.org/officeDocument/2006/relationships/comments" Target="../comments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"/>
  <sheetViews>
    <sheetView showGridLines="0" workbookViewId="0">
      <selection activeCell="H25" sqref="H25"/>
    </sheetView>
  </sheetViews>
  <sheetFormatPr defaultColWidth="8.25" defaultRowHeight="21.95" customHeight="1"/>
  <cols>
    <col min="1" max="1" width="8.25" style="77" customWidth="1"/>
    <col min="2" max="16384" width="8.25" style="77"/>
  </cols>
  <sheetData>
    <row r="8" spans="2:2" ht="21.95" customHeight="1">
      <c r="B8" s="77">
        <v>0</v>
      </c>
    </row>
  </sheetData>
  <sheetProtection selectLockedCells="1"/>
  <phoneticPr fontId="29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XDZ1067"/>
  <sheetViews>
    <sheetView showGridLines="0" showZeros="0" workbookViewId="0">
      <selection activeCell="T8" sqref="T8"/>
    </sheetView>
  </sheetViews>
  <sheetFormatPr defaultColWidth="9" defaultRowHeight="17.100000000000001" customHeight="1"/>
  <cols>
    <col min="1" max="1" width="21.625" style="4" customWidth="1"/>
    <col min="2" max="3" width="4" style="4" customWidth="1"/>
    <col min="4" max="16" width="9.625" style="5" customWidth="1"/>
    <col min="17" max="18" width="4" style="4" customWidth="1"/>
    <col min="19" max="16354" width="9" style="4"/>
    <col min="16355" max="16384" width="9" style="66"/>
  </cols>
  <sheetData>
    <row r="1" spans="1:16" s="1" customFormat="1" ht="15.95" customHeight="1">
      <c r="A1" s="7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s="1" customFormat="1" ht="24" customHeight="1">
      <c r="A2" s="7"/>
      <c r="B2" s="8"/>
      <c r="C2" s="8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</row>
    <row r="3" spans="1:16" s="1" customFormat="1" ht="24" customHeight="1">
      <c r="A3" s="7"/>
      <c r="B3" s="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6" s="2" customFormat="1" ht="24" customHeight="1">
      <c r="A4" s="9"/>
      <c r="B4" s="10"/>
      <c r="C4" s="18"/>
      <c r="D4" s="226" t="s">
        <v>0</v>
      </c>
      <c r="E4" s="226"/>
      <c r="F4" s="226"/>
      <c r="G4" s="226"/>
      <c r="H4" s="72"/>
      <c r="I4" s="72"/>
      <c r="J4" s="72"/>
      <c r="K4" s="72"/>
      <c r="L4" s="72"/>
      <c r="M4" s="72"/>
      <c r="N4" s="72"/>
      <c r="O4" s="72"/>
      <c r="P4" s="75" t="s">
        <v>1</v>
      </c>
    </row>
    <row r="5" spans="1:16" s="2" customFormat="1" ht="24" customHeight="1">
      <c r="A5" s="9"/>
      <c r="B5" s="10"/>
      <c r="C5" s="18"/>
      <c r="D5" s="67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76">
        <f>'01单据录入'!F1</f>
        <v>2021</v>
      </c>
    </row>
    <row r="6" spans="1:16" s="1" customFormat="1" ht="31.5">
      <c r="A6" s="230"/>
      <c r="B6" s="8"/>
      <c r="C6" s="68"/>
      <c r="D6" s="69"/>
      <c r="E6" s="227">
        <f>SUM(E20:P20)</f>
        <v>12700</v>
      </c>
      <c r="F6" s="227"/>
      <c r="G6" s="227"/>
      <c r="H6" s="68"/>
      <c r="I6" s="228">
        <f>SUM(E21:P21)</f>
        <v>-11506</v>
      </c>
      <c r="J6" s="228"/>
      <c r="K6" s="228"/>
      <c r="L6" s="68"/>
      <c r="M6" s="229">
        <f>SUM(E22:P22)</f>
        <v>1194</v>
      </c>
      <c r="N6" s="229"/>
      <c r="O6" s="229"/>
      <c r="P6" s="68"/>
    </row>
    <row r="7" spans="1:16" s="1" customFormat="1" ht="24" customHeight="1">
      <c r="A7" s="230"/>
      <c r="B7" s="8"/>
      <c r="C7" s="68"/>
      <c r="D7" s="78" t="s">
        <v>2</v>
      </c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</row>
    <row r="8" spans="1:16" s="1" customFormat="1" ht="24" customHeight="1">
      <c r="A8" s="225"/>
      <c r="B8" s="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</row>
    <row r="9" spans="1:16" s="1" customFormat="1" ht="24" customHeight="1">
      <c r="A9" s="225"/>
      <c r="B9" s="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</row>
    <row r="10" spans="1:16" s="1" customFormat="1" ht="24" customHeight="1">
      <c r="A10" s="225"/>
      <c r="B10" s="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</row>
    <row r="11" spans="1:16" s="1" customFormat="1" ht="24" customHeight="1">
      <c r="A11" s="225"/>
      <c r="B11" s="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</row>
    <row r="12" spans="1:16" s="1" customFormat="1" ht="24" customHeight="1">
      <c r="A12" s="231"/>
      <c r="B12" s="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</row>
    <row r="13" spans="1:16" s="1" customFormat="1" ht="24" customHeight="1">
      <c r="A13" s="231"/>
      <c r="B13" s="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</row>
    <row r="14" spans="1:16" s="1" customFormat="1" ht="24" customHeight="1">
      <c r="A14" s="225"/>
      <c r="B14" s="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</row>
    <row r="15" spans="1:16" s="1" customFormat="1" ht="24" customHeight="1">
      <c r="A15" s="225"/>
      <c r="B15" s="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1:16" s="1" customFormat="1" ht="24" customHeight="1">
      <c r="A16" s="3"/>
      <c r="B16" s="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</row>
    <row r="17" spans="1:16" s="1" customFormat="1" ht="24" customHeight="1">
      <c r="A17" s="3"/>
      <c r="B17" s="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</row>
    <row r="18" spans="1:16" s="1" customFormat="1" ht="24" customHeight="1">
      <c r="B18" s="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</row>
    <row r="19" spans="1:16" s="1" customFormat="1" ht="24" customHeight="1">
      <c r="B19" s="8"/>
      <c r="C19" s="68"/>
      <c r="D19" s="70" t="s">
        <v>3</v>
      </c>
      <c r="E19" s="73">
        <v>1</v>
      </c>
      <c r="F19" s="73">
        <v>2</v>
      </c>
      <c r="G19" s="73">
        <v>3</v>
      </c>
      <c r="H19" s="73">
        <v>4</v>
      </c>
      <c r="I19" s="73">
        <v>5</v>
      </c>
      <c r="J19" s="73">
        <v>6</v>
      </c>
      <c r="K19" s="73">
        <v>7</v>
      </c>
      <c r="L19" s="73">
        <v>8</v>
      </c>
      <c r="M19" s="73">
        <v>9</v>
      </c>
      <c r="N19" s="73">
        <v>10</v>
      </c>
      <c r="O19" s="73">
        <v>11</v>
      </c>
      <c r="P19" s="73">
        <v>12</v>
      </c>
    </row>
    <row r="20" spans="1:16" s="1" customFormat="1" ht="24" customHeight="1">
      <c r="B20" s="8"/>
      <c r="C20" s="68"/>
      <c r="D20" s="71" t="s">
        <v>4</v>
      </c>
      <c r="E20" s="74">
        <v>2088</v>
      </c>
      <c r="F20" s="74">
        <v>2738</v>
      </c>
      <c r="G20" s="74">
        <v>2613</v>
      </c>
      <c r="H20" s="74">
        <v>5261</v>
      </c>
      <c r="I20" s="74"/>
      <c r="J20" s="74"/>
      <c r="K20" s="74"/>
      <c r="L20" s="74"/>
      <c r="M20" s="74"/>
      <c r="N20" s="74"/>
      <c r="O20" s="74"/>
      <c r="P20" s="74"/>
    </row>
    <row r="21" spans="1:16" s="1" customFormat="1" ht="24" customHeight="1">
      <c r="B21" s="8"/>
      <c r="C21" s="68"/>
      <c r="D21" s="71" t="s">
        <v>5</v>
      </c>
      <c r="E21" s="74">
        <v>-2088</v>
      </c>
      <c r="F21" s="74">
        <v>-1752</v>
      </c>
      <c r="G21" s="74">
        <v>-986</v>
      </c>
      <c r="H21" s="74">
        <v>-1159</v>
      </c>
      <c r="I21" s="74">
        <v>-2791</v>
      </c>
      <c r="J21" s="74">
        <v>-2730</v>
      </c>
      <c r="K21" s="74"/>
      <c r="L21" s="74"/>
      <c r="M21" s="74"/>
      <c r="N21" s="74"/>
      <c r="O21" s="74"/>
      <c r="P21" s="74"/>
    </row>
    <row r="22" spans="1:16" s="1" customFormat="1" ht="24" customHeight="1">
      <c r="B22" s="8"/>
      <c r="C22" s="68"/>
      <c r="D22" s="71" t="s">
        <v>6</v>
      </c>
      <c r="E22" s="74">
        <v>0</v>
      </c>
      <c r="F22" s="74">
        <v>986</v>
      </c>
      <c r="G22" s="74">
        <v>1627</v>
      </c>
      <c r="H22" s="74">
        <v>4102</v>
      </c>
      <c r="I22" s="74">
        <v>-2791</v>
      </c>
      <c r="J22" s="74">
        <v>-2730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</row>
    <row r="23" spans="1:16" s="1" customFormat="1" ht="16.5" customHeight="1"/>
    <row r="24" spans="1:16" s="1" customFormat="1" ht="24" customHeight="1"/>
    <row r="25" spans="1:16" s="4" customFormat="1" ht="16.5" customHeight="1"/>
    <row r="26" spans="1:16" s="4" customFormat="1" ht="16.5" customHeight="1"/>
    <row r="27" spans="1:16" s="4" customFormat="1" ht="16.5" customHeight="1"/>
    <row r="28" spans="1:16" s="4" customFormat="1" ht="16.5" customHeight="1"/>
    <row r="29" spans="1:16" s="4" customFormat="1" ht="16.5" customHeight="1"/>
    <row r="30" spans="1:16" s="4" customFormat="1" ht="16.5" customHeight="1"/>
    <row r="31" spans="1:16" s="4" customFormat="1" ht="16.5" customHeight="1"/>
    <row r="32" spans="1:16" s="4" customFormat="1" ht="16.5" customHeight="1"/>
    <row r="33" s="4" customFormat="1" ht="16.5" customHeight="1"/>
    <row r="34" s="4" customFormat="1" ht="16.5" customHeight="1"/>
    <row r="35" s="4" customFormat="1" ht="16.5" customHeight="1"/>
    <row r="36" s="4" customFormat="1" ht="16.5" customHeight="1"/>
    <row r="37" s="4" customFormat="1" ht="16.5" customHeight="1"/>
    <row r="38" s="4" customFormat="1" ht="16.5" customHeight="1"/>
    <row r="39" s="4" customFormat="1" ht="17.100000000000001" customHeight="1"/>
    <row r="40" s="4" customFormat="1" ht="17.100000000000001" customHeight="1"/>
    <row r="41" s="4" customFormat="1" ht="17.100000000000001" customHeight="1"/>
    <row r="42" s="4" customFormat="1" ht="17.100000000000001" customHeight="1"/>
    <row r="43" s="4" customFormat="1" ht="17.100000000000001" customHeight="1"/>
    <row r="44" s="4" customFormat="1" ht="17.100000000000001" customHeight="1"/>
    <row r="45" s="4" customFormat="1" ht="17.100000000000001" customHeight="1"/>
    <row r="46" s="4" customFormat="1" ht="17.100000000000001" customHeight="1"/>
    <row r="47" s="4" customFormat="1" ht="17.100000000000001" customHeight="1"/>
    <row r="48" s="4" customFormat="1" ht="17.100000000000001" customHeight="1"/>
    <row r="49" s="4" customFormat="1" ht="17.100000000000001" customHeight="1"/>
    <row r="50" s="4" customFormat="1" ht="17.100000000000001" customHeight="1"/>
    <row r="51" s="4" customFormat="1" ht="17.100000000000001" customHeight="1"/>
    <row r="52" s="4" customFormat="1" ht="17.100000000000001" customHeight="1"/>
    <row r="53" s="4" customFormat="1" ht="17.100000000000001" customHeight="1"/>
    <row r="54" s="4" customFormat="1" ht="17.100000000000001" customHeight="1"/>
    <row r="55" s="4" customFormat="1" ht="17.100000000000001" customHeight="1"/>
    <row r="56" s="4" customFormat="1" ht="17.100000000000001" customHeight="1"/>
    <row r="57" s="4" customFormat="1" ht="17.100000000000001" customHeight="1"/>
    <row r="58" s="4" customFormat="1" ht="17.100000000000001" customHeight="1"/>
    <row r="59" s="4" customFormat="1" ht="17.100000000000001" customHeight="1"/>
    <row r="60" s="4" customFormat="1" ht="17.100000000000001" customHeight="1"/>
    <row r="61" s="4" customFormat="1" ht="17.100000000000001" customHeight="1"/>
    <row r="62" s="4" customFormat="1" ht="17.100000000000001" customHeight="1"/>
    <row r="63" s="4" customFormat="1" ht="17.100000000000001" customHeight="1"/>
    <row r="64" s="4" customFormat="1" ht="17.100000000000001" customHeight="1"/>
    <row r="65" s="4" customFormat="1" ht="17.100000000000001" customHeight="1"/>
    <row r="66" s="4" customFormat="1" ht="17.100000000000001" customHeight="1"/>
    <row r="67" s="4" customFormat="1" ht="17.100000000000001" customHeight="1"/>
    <row r="68" s="4" customFormat="1" ht="17.100000000000001" customHeight="1"/>
    <row r="69" s="4" customFormat="1" ht="17.100000000000001" customHeight="1"/>
    <row r="70" s="4" customFormat="1" ht="17.100000000000001" customHeight="1"/>
    <row r="71" s="4" customFormat="1" ht="17.100000000000001" customHeight="1"/>
    <row r="72" s="4" customFormat="1" ht="17.100000000000001" customHeight="1"/>
    <row r="73" s="4" customFormat="1" ht="17.100000000000001" customHeight="1"/>
    <row r="74" s="4" customFormat="1" ht="17.100000000000001" customHeight="1"/>
    <row r="75" s="4" customFormat="1" ht="17.100000000000001" customHeight="1"/>
    <row r="76" s="4" customFormat="1" ht="17.100000000000001" customHeight="1"/>
    <row r="77" s="4" customFormat="1" ht="17.100000000000001" customHeight="1"/>
    <row r="78" s="4" customFormat="1" ht="17.100000000000001" customHeight="1"/>
    <row r="79" s="4" customFormat="1" ht="17.100000000000001" customHeight="1"/>
    <row r="80" s="4" customFormat="1" ht="17.100000000000001" customHeight="1"/>
    <row r="81" s="4" customFormat="1" ht="17.100000000000001" customHeight="1"/>
    <row r="82" s="4" customFormat="1" ht="17.100000000000001" customHeight="1"/>
    <row r="83" s="4" customFormat="1" ht="17.100000000000001" customHeight="1"/>
    <row r="84" s="4" customFormat="1" ht="17.100000000000001" customHeight="1"/>
    <row r="85" s="4" customFormat="1" ht="17.100000000000001" customHeight="1"/>
    <row r="86" s="4" customFormat="1" ht="17.100000000000001" customHeight="1"/>
    <row r="87" s="4" customFormat="1" ht="17.100000000000001" customHeight="1"/>
    <row r="88" s="4" customFormat="1" ht="17.100000000000001" customHeight="1"/>
    <row r="89" s="4" customFormat="1" ht="17.100000000000001" customHeight="1"/>
    <row r="90" s="4" customFormat="1" ht="17.100000000000001" customHeight="1"/>
    <row r="91" s="4" customFormat="1" ht="17.100000000000001" customHeight="1"/>
    <row r="92" s="4" customFormat="1" ht="17.100000000000001" customHeight="1"/>
    <row r="93" s="4" customFormat="1" ht="17.100000000000001" customHeight="1"/>
    <row r="94" s="4" customFormat="1" ht="17.100000000000001" customHeight="1"/>
    <row r="95" s="4" customFormat="1" ht="17.100000000000001" customHeight="1"/>
    <row r="96" s="4" customFormat="1" ht="17.100000000000001" customHeight="1"/>
    <row r="97" s="4" customFormat="1" ht="17.100000000000001" customHeight="1"/>
    <row r="98" s="4" customFormat="1" ht="17.100000000000001" customHeight="1"/>
    <row r="99" s="4" customFormat="1" ht="17.100000000000001" customHeight="1"/>
    <row r="100" s="4" customFormat="1" ht="17.100000000000001" customHeight="1"/>
    <row r="101" s="4" customFormat="1" ht="17.100000000000001" customHeight="1"/>
    <row r="102" s="4" customFormat="1" ht="17.100000000000001" customHeight="1"/>
    <row r="103" s="4" customFormat="1" ht="17.100000000000001" customHeight="1"/>
    <row r="104" s="4" customFormat="1" ht="17.100000000000001" customHeight="1"/>
    <row r="105" s="4" customFormat="1" ht="17.100000000000001" customHeight="1"/>
    <row r="106" s="4" customFormat="1" ht="17.100000000000001" customHeight="1"/>
    <row r="107" s="4" customFormat="1" ht="17.100000000000001" customHeight="1"/>
    <row r="108" s="4" customFormat="1" ht="17.100000000000001" customHeight="1"/>
    <row r="109" s="4" customFormat="1" ht="17.100000000000001" customHeight="1"/>
    <row r="110" s="4" customFormat="1" ht="17.100000000000001" customHeight="1"/>
    <row r="111" s="4" customFormat="1" ht="17.100000000000001" customHeight="1"/>
    <row r="112" s="4" customFormat="1" ht="17.100000000000001" customHeight="1"/>
    <row r="113" s="4" customFormat="1" ht="17.100000000000001" customHeight="1"/>
    <row r="114" s="4" customFormat="1" ht="17.100000000000001" customHeight="1"/>
    <row r="115" s="4" customFormat="1" ht="17.100000000000001" customHeight="1"/>
    <row r="116" s="4" customFormat="1" ht="17.100000000000001" customHeight="1"/>
    <row r="117" s="4" customFormat="1" ht="17.100000000000001" customHeight="1"/>
    <row r="118" s="4" customFormat="1" ht="17.100000000000001" customHeight="1"/>
    <row r="119" s="4" customFormat="1" ht="17.100000000000001" customHeight="1"/>
    <row r="120" s="4" customFormat="1" ht="17.100000000000001" customHeight="1"/>
    <row r="121" s="4" customFormat="1" ht="17.100000000000001" customHeight="1"/>
    <row r="122" s="4" customFormat="1" ht="17.100000000000001" customHeight="1"/>
    <row r="123" s="4" customFormat="1" ht="17.100000000000001" customHeight="1"/>
    <row r="124" s="4" customFormat="1" ht="17.100000000000001" customHeight="1"/>
    <row r="125" s="4" customFormat="1" ht="17.100000000000001" customHeight="1"/>
    <row r="126" s="4" customFormat="1" ht="17.100000000000001" customHeight="1"/>
    <row r="127" s="4" customFormat="1" ht="17.100000000000001" customHeight="1"/>
    <row r="128" s="4" customFormat="1" ht="17.100000000000001" customHeight="1"/>
    <row r="129" s="4" customFormat="1" ht="17.100000000000001" customHeight="1"/>
    <row r="130" s="4" customFormat="1" ht="17.100000000000001" customHeight="1"/>
    <row r="131" s="4" customFormat="1" ht="17.100000000000001" customHeight="1"/>
    <row r="132" s="4" customFormat="1" ht="17.100000000000001" customHeight="1"/>
    <row r="133" s="4" customFormat="1" ht="17.100000000000001" customHeight="1"/>
    <row r="134" s="4" customFormat="1" ht="17.100000000000001" customHeight="1"/>
    <row r="135" s="4" customFormat="1" ht="17.100000000000001" customHeight="1"/>
    <row r="136" s="4" customFormat="1" ht="17.100000000000001" customHeight="1"/>
    <row r="137" s="4" customFormat="1" ht="17.100000000000001" customHeight="1"/>
    <row r="138" s="4" customFormat="1" ht="17.100000000000001" customHeight="1"/>
    <row r="139" s="4" customFormat="1" ht="17.100000000000001" customHeight="1"/>
    <row r="140" s="4" customFormat="1" ht="17.100000000000001" customHeight="1"/>
    <row r="141" s="4" customFormat="1" ht="17.100000000000001" customHeight="1"/>
    <row r="142" s="4" customFormat="1" ht="17.100000000000001" customHeight="1"/>
    <row r="143" s="4" customFormat="1" ht="17.100000000000001" customHeight="1"/>
    <row r="144" s="4" customFormat="1" ht="17.100000000000001" customHeight="1"/>
    <row r="145" s="4" customFormat="1" ht="17.100000000000001" customHeight="1"/>
    <row r="146" s="4" customFormat="1" ht="17.100000000000001" customHeight="1"/>
    <row r="147" s="4" customFormat="1" ht="17.100000000000001" customHeight="1"/>
    <row r="148" s="4" customFormat="1" ht="17.100000000000001" customHeight="1"/>
    <row r="149" s="4" customFormat="1" ht="17.100000000000001" customHeight="1"/>
    <row r="150" s="4" customFormat="1" ht="17.100000000000001" customHeight="1"/>
    <row r="151" s="4" customFormat="1" ht="17.100000000000001" customHeight="1"/>
    <row r="152" s="4" customFormat="1" ht="17.100000000000001" customHeight="1"/>
    <row r="153" s="4" customFormat="1" ht="17.100000000000001" customHeight="1"/>
    <row r="154" s="4" customFormat="1" ht="17.100000000000001" customHeight="1"/>
    <row r="155" s="4" customFormat="1" ht="17.100000000000001" customHeight="1"/>
    <row r="156" s="4" customFormat="1" ht="17.100000000000001" customHeight="1"/>
    <row r="157" s="4" customFormat="1" ht="17.100000000000001" customHeight="1"/>
    <row r="158" s="4" customFormat="1" ht="17.100000000000001" customHeight="1"/>
    <row r="159" s="4" customFormat="1" ht="17.100000000000001" customHeight="1"/>
    <row r="160" s="4" customFormat="1" ht="17.100000000000001" customHeight="1"/>
    <row r="161" s="4" customFormat="1" ht="17.100000000000001" customHeight="1"/>
    <row r="162" s="4" customFormat="1" ht="17.100000000000001" customHeight="1"/>
    <row r="163" s="4" customFormat="1" ht="17.100000000000001" customHeight="1"/>
    <row r="164" s="4" customFormat="1" ht="17.100000000000001" customHeight="1"/>
    <row r="165" s="4" customFormat="1" ht="17.100000000000001" customHeight="1"/>
    <row r="166" s="4" customFormat="1" ht="17.100000000000001" customHeight="1"/>
    <row r="167" s="4" customFormat="1" ht="17.100000000000001" customHeight="1"/>
    <row r="168" s="4" customFormat="1" ht="17.100000000000001" customHeight="1"/>
    <row r="169" s="4" customFormat="1" ht="17.100000000000001" customHeight="1"/>
    <row r="170" s="4" customFormat="1" ht="17.100000000000001" customHeight="1"/>
    <row r="171" s="4" customFormat="1" ht="17.100000000000001" customHeight="1"/>
    <row r="172" s="4" customFormat="1" ht="17.100000000000001" customHeight="1"/>
    <row r="173" s="4" customFormat="1" ht="17.100000000000001" customHeight="1"/>
    <row r="174" s="4" customFormat="1" ht="17.100000000000001" customHeight="1"/>
    <row r="175" s="4" customFormat="1" ht="17.100000000000001" customHeight="1"/>
    <row r="176" s="4" customFormat="1" ht="17.100000000000001" customHeight="1"/>
    <row r="177" s="4" customFormat="1" ht="17.100000000000001" customHeight="1"/>
    <row r="178" s="4" customFormat="1" ht="17.100000000000001" customHeight="1"/>
    <row r="179" s="4" customFormat="1" ht="17.100000000000001" customHeight="1"/>
    <row r="180" s="4" customFormat="1" ht="17.100000000000001" customHeight="1"/>
    <row r="181" s="4" customFormat="1" ht="17.100000000000001" customHeight="1"/>
    <row r="182" s="4" customFormat="1" ht="17.100000000000001" customHeight="1"/>
    <row r="183" s="4" customFormat="1" ht="17.100000000000001" customHeight="1"/>
    <row r="184" s="4" customFormat="1" ht="17.100000000000001" customHeight="1"/>
    <row r="185" s="4" customFormat="1" ht="17.100000000000001" customHeight="1"/>
    <row r="186" s="4" customFormat="1" ht="17.100000000000001" customHeight="1"/>
    <row r="187" s="4" customFormat="1" ht="17.100000000000001" customHeight="1"/>
    <row r="188" s="4" customFormat="1" ht="17.100000000000001" customHeight="1"/>
    <row r="189" s="4" customFormat="1" ht="17.100000000000001" customHeight="1"/>
    <row r="190" s="4" customFormat="1" ht="17.100000000000001" customHeight="1"/>
    <row r="191" s="4" customFormat="1" ht="17.100000000000001" customHeight="1"/>
    <row r="192" s="4" customFormat="1" ht="17.100000000000001" customHeight="1"/>
    <row r="193" s="4" customFormat="1" ht="17.100000000000001" customHeight="1"/>
    <row r="194" s="4" customFormat="1" ht="17.100000000000001" customHeight="1"/>
    <row r="195" s="4" customFormat="1" ht="17.100000000000001" customHeight="1"/>
    <row r="196" s="4" customFormat="1" ht="17.100000000000001" customHeight="1"/>
    <row r="197" s="4" customFormat="1" ht="17.100000000000001" customHeight="1"/>
    <row r="198" s="4" customFormat="1" ht="17.100000000000001" customHeight="1"/>
    <row r="199" s="4" customFormat="1" ht="17.100000000000001" customHeight="1"/>
    <row r="200" s="4" customFormat="1" ht="17.100000000000001" customHeight="1"/>
    <row r="201" s="4" customFormat="1" ht="17.100000000000001" customHeight="1"/>
    <row r="202" s="4" customFormat="1" ht="17.100000000000001" customHeight="1"/>
    <row r="203" s="4" customFormat="1" ht="17.100000000000001" customHeight="1"/>
    <row r="204" s="4" customFormat="1" ht="17.100000000000001" customHeight="1"/>
    <row r="205" s="4" customFormat="1" ht="17.100000000000001" customHeight="1"/>
    <row r="206" s="4" customFormat="1" ht="17.100000000000001" customHeight="1"/>
    <row r="207" s="4" customFormat="1" ht="17.100000000000001" customHeight="1"/>
    <row r="208" s="4" customFormat="1" ht="17.100000000000001" customHeight="1"/>
    <row r="209" s="4" customFormat="1" ht="17.100000000000001" customHeight="1"/>
    <row r="210" s="4" customFormat="1" ht="17.100000000000001" customHeight="1"/>
    <row r="211" s="4" customFormat="1" ht="17.100000000000001" customHeight="1"/>
    <row r="212" s="4" customFormat="1" ht="17.100000000000001" customHeight="1"/>
    <row r="213" s="4" customFormat="1" ht="17.100000000000001" customHeight="1"/>
    <row r="214" s="4" customFormat="1" ht="17.100000000000001" customHeight="1"/>
    <row r="215" s="4" customFormat="1" ht="17.100000000000001" customHeight="1"/>
    <row r="216" s="4" customFormat="1" ht="17.100000000000001" customHeight="1"/>
    <row r="217" s="4" customFormat="1" ht="17.100000000000001" customHeight="1"/>
    <row r="218" s="4" customFormat="1" ht="17.100000000000001" customHeight="1"/>
    <row r="219" s="4" customFormat="1" ht="17.100000000000001" customHeight="1"/>
    <row r="220" s="4" customFormat="1" ht="17.100000000000001" customHeight="1"/>
    <row r="221" s="4" customFormat="1" ht="17.100000000000001" customHeight="1"/>
    <row r="222" s="4" customFormat="1" ht="17.100000000000001" customHeight="1"/>
    <row r="223" s="4" customFormat="1" ht="17.100000000000001" customHeight="1"/>
    <row r="224" s="4" customFormat="1" ht="17.100000000000001" customHeight="1"/>
    <row r="225" s="4" customFormat="1" ht="17.100000000000001" customHeight="1"/>
    <row r="226" s="4" customFormat="1" ht="17.100000000000001" customHeight="1"/>
    <row r="227" s="4" customFormat="1" ht="17.100000000000001" customHeight="1"/>
    <row r="228" s="4" customFormat="1" ht="17.100000000000001" customHeight="1"/>
    <row r="229" s="4" customFormat="1" ht="17.100000000000001" customHeight="1"/>
    <row r="230" s="4" customFormat="1" ht="17.100000000000001" customHeight="1"/>
    <row r="231" s="4" customFormat="1" ht="17.100000000000001" customHeight="1"/>
    <row r="232" s="4" customFormat="1" ht="17.100000000000001" customHeight="1"/>
    <row r="233" s="4" customFormat="1" ht="17.100000000000001" customHeight="1"/>
    <row r="234" s="4" customFormat="1" ht="17.100000000000001" customHeight="1"/>
    <row r="235" s="4" customFormat="1" ht="17.100000000000001" customHeight="1"/>
    <row r="236" s="4" customFormat="1" ht="17.100000000000001" customHeight="1"/>
    <row r="237" s="4" customFormat="1" ht="17.100000000000001" customHeight="1"/>
    <row r="238" s="4" customFormat="1" ht="17.100000000000001" customHeight="1"/>
    <row r="239" s="4" customFormat="1" ht="17.100000000000001" customHeight="1"/>
    <row r="240" s="4" customFormat="1" ht="17.100000000000001" customHeight="1"/>
    <row r="241" s="4" customFormat="1" ht="17.100000000000001" customHeight="1"/>
    <row r="242" s="4" customFormat="1" ht="17.100000000000001" customHeight="1"/>
    <row r="243" s="4" customFormat="1" ht="17.100000000000001" customHeight="1"/>
    <row r="244" s="4" customFormat="1" ht="17.100000000000001" customHeight="1"/>
    <row r="245" s="4" customFormat="1" ht="17.100000000000001" customHeight="1"/>
    <row r="246" s="4" customFormat="1" ht="17.100000000000001" customHeight="1"/>
    <row r="247" s="4" customFormat="1" ht="17.100000000000001" customHeight="1"/>
    <row r="248" s="4" customFormat="1" ht="17.100000000000001" customHeight="1"/>
    <row r="249" s="4" customFormat="1" ht="17.100000000000001" customHeight="1"/>
    <row r="250" s="4" customFormat="1" ht="17.100000000000001" customHeight="1"/>
    <row r="251" s="4" customFormat="1" ht="17.100000000000001" customHeight="1"/>
    <row r="252" s="4" customFormat="1" ht="17.100000000000001" customHeight="1"/>
    <row r="253" s="4" customFormat="1" ht="17.100000000000001" customHeight="1"/>
    <row r="254" s="4" customFormat="1" ht="17.100000000000001" customHeight="1"/>
    <row r="255" s="4" customFormat="1" ht="17.100000000000001" customHeight="1"/>
    <row r="256" s="4" customFormat="1" ht="17.100000000000001" customHeight="1"/>
    <row r="257" s="4" customFormat="1" ht="17.100000000000001" customHeight="1"/>
    <row r="258" s="4" customFormat="1" ht="17.100000000000001" customHeight="1"/>
    <row r="259" s="4" customFormat="1" ht="17.100000000000001" customHeight="1"/>
    <row r="260" s="4" customFormat="1" ht="17.100000000000001" customHeight="1"/>
    <row r="261" s="4" customFormat="1" ht="17.100000000000001" customHeight="1"/>
    <row r="262" s="4" customFormat="1" ht="17.100000000000001" customHeight="1"/>
    <row r="263" s="4" customFormat="1" ht="17.100000000000001" customHeight="1"/>
    <row r="264" s="4" customFormat="1" ht="17.100000000000001" customHeight="1"/>
    <row r="265" s="4" customFormat="1" ht="17.100000000000001" customHeight="1"/>
    <row r="266" s="4" customFormat="1" ht="17.100000000000001" customHeight="1"/>
    <row r="267" s="4" customFormat="1" ht="17.100000000000001" customHeight="1"/>
    <row r="268" s="4" customFormat="1" ht="17.100000000000001" customHeight="1"/>
    <row r="269" s="4" customFormat="1" ht="17.100000000000001" customHeight="1"/>
    <row r="270" s="4" customFormat="1" ht="17.100000000000001" customHeight="1"/>
    <row r="271" s="4" customFormat="1" ht="17.100000000000001" customHeight="1"/>
    <row r="272" s="4" customFormat="1" ht="17.100000000000001" customHeight="1"/>
    <row r="273" s="4" customFormat="1" ht="17.100000000000001" customHeight="1"/>
    <row r="274" s="4" customFormat="1" ht="17.100000000000001" customHeight="1"/>
    <row r="275" s="4" customFormat="1" ht="17.100000000000001" customHeight="1"/>
    <row r="276" s="4" customFormat="1" ht="17.100000000000001" customHeight="1"/>
    <row r="277" s="4" customFormat="1" ht="17.100000000000001" customHeight="1"/>
    <row r="278" s="4" customFormat="1" ht="17.100000000000001" customHeight="1"/>
    <row r="279" s="4" customFormat="1" ht="17.100000000000001" customHeight="1"/>
    <row r="280" s="4" customFormat="1" ht="17.100000000000001" customHeight="1"/>
    <row r="281" s="4" customFormat="1" ht="17.100000000000001" customHeight="1"/>
    <row r="282" s="4" customFormat="1" ht="17.100000000000001" customHeight="1"/>
    <row r="283" s="4" customFormat="1" ht="17.100000000000001" customHeight="1"/>
    <row r="284" s="4" customFormat="1" ht="17.100000000000001" customHeight="1"/>
    <row r="285" s="4" customFormat="1" ht="17.100000000000001" customHeight="1"/>
    <row r="286" s="4" customFormat="1" ht="17.100000000000001" customHeight="1"/>
    <row r="287" s="4" customFormat="1" ht="17.100000000000001" customHeight="1"/>
    <row r="288" s="4" customFormat="1" ht="17.100000000000001" customHeight="1"/>
    <row r="289" s="4" customFormat="1" ht="17.100000000000001" customHeight="1"/>
    <row r="290" s="4" customFormat="1" ht="17.100000000000001" customHeight="1"/>
    <row r="291" s="4" customFormat="1" ht="17.100000000000001" customHeight="1"/>
    <row r="292" s="4" customFormat="1" ht="17.100000000000001" customHeight="1"/>
    <row r="293" s="4" customFormat="1" ht="17.100000000000001" customHeight="1"/>
    <row r="294" s="4" customFormat="1" ht="17.100000000000001" customHeight="1"/>
    <row r="295" s="4" customFormat="1" ht="17.100000000000001" customHeight="1"/>
    <row r="296" s="4" customFormat="1" ht="17.100000000000001" customHeight="1"/>
    <row r="297" s="4" customFormat="1" ht="17.100000000000001" customHeight="1"/>
    <row r="298" s="4" customFormat="1" ht="17.100000000000001" customHeight="1"/>
    <row r="299" s="4" customFormat="1" ht="17.100000000000001" customHeight="1"/>
    <row r="300" s="4" customFormat="1" ht="17.100000000000001" customHeight="1"/>
    <row r="301" s="4" customFormat="1" ht="17.100000000000001" customHeight="1"/>
    <row r="302" s="4" customFormat="1" ht="17.100000000000001" customHeight="1"/>
    <row r="303" s="4" customFormat="1" ht="17.100000000000001" customHeight="1"/>
    <row r="304" s="4" customFormat="1" ht="17.100000000000001" customHeight="1"/>
    <row r="305" s="4" customFormat="1" ht="17.100000000000001" customHeight="1"/>
    <row r="306" s="4" customFormat="1" ht="17.100000000000001" customHeight="1"/>
    <row r="307" s="4" customFormat="1" ht="17.100000000000001" customHeight="1"/>
    <row r="308" s="4" customFormat="1" ht="17.100000000000001" customHeight="1"/>
    <row r="309" s="4" customFormat="1" ht="17.100000000000001" customHeight="1"/>
    <row r="310" s="4" customFormat="1" ht="17.100000000000001" customHeight="1"/>
    <row r="311" s="4" customFormat="1" ht="17.100000000000001" customHeight="1"/>
    <row r="312" s="4" customFormat="1" ht="17.100000000000001" customHeight="1"/>
    <row r="313" s="4" customFormat="1" ht="17.100000000000001" customHeight="1"/>
    <row r="314" s="4" customFormat="1" ht="17.100000000000001" customHeight="1"/>
    <row r="315" s="4" customFormat="1" ht="17.100000000000001" customHeight="1"/>
    <row r="316" s="4" customFormat="1" ht="17.100000000000001" customHeight="1"/>
    <row r="317" s="4" customFormat="1" ht="17.100000000000001" customHeight="1"/>
    <row r="318" s="4" customFormat="1" ht="17.100000000000001" customHeight="1"/>
    <row r="319" s="4" customFormat="1" ht="17.100000000000001" customHeight="1"/>
    <row r="320" s="4" customFormat="1" ht="17.100000000000001" customHeight="1"/>
    <row r="321" s="4" customFormat="1" ht="17.100000000000001" customHeight="1"/>
    <row r="322" s="4" customFormat="1" ht="17.100000000000001" customHeight="1"/>
    <row r="323" s="4" customFormat="1" ht="17.100000000000001" customHeight="1"/>
    <row r="324" s="4" customFormat="1" ht="17.100000000000001" customHeight="1"/>
    <row r="325" s="4" customFormat="1" ht="17.100000000000001" customHeight="1"/>
    <row r="326" s="4" customFormat="1" ht="17.100000000000001" customHeight="1"/>
    <row r="327" s="4" customFormat="1" ht="17.100000000000001" customHeight="1"/>
    <row r="328" s="4" customFormat="1" ht="17.100000000000001" customHeight="1"/>
    <row r="329" s="4" customFormat="1" ht="17.100000000000001" customHeight="1"/>
    <row r="330" s="4" customFormat="1" ht="17.100000000000001" customHeight="1"/>
    <row r="331" s="4" customFormat="1" ht="17.100000000000001" customHeight="1"/>
    <row r="332" s="4" customFormat="1" ht="17.100000000000001" customHeight="1"/>
    <row r="333" s="4" customFormat="1" ht="17.100000000000001" customHeight="1"/>
    <row r="334" s="4" customFormat="1" ht="17.100000000000001" customHeight="1"/>
    <row r="335" s="4" customFormat="1" ht="17.100000000000001" customHeight="1"/>
    <row r="336" s="4" customFormat="1" ht="17.100000000000001" customHeight="1"/>
    <row r="337" s="4" customFormat="1" ht="17.100000000000001" customHeight="1"/>
    <row r="338" s="4" customFormat="1" ht="17.100000000000001" customHeight="1"/>
    <row r="339" s="4" customFormat="1" ht="17.100000000000001" customHeight="1"/>
    <row r="340" s="4" customFormat="1" ht="17.100000000000001" customHeight="1"/>
    <row r="341" s="4" customFormat="1" ht="17.100000000000001" customHeight="1"/>
    <row r="342" s="4" customFormat="1" ht="17.100000000000001" customHeight="1"/>
    <row r="343" s="4" customFormat="1" ht="17.100000000000001" customHeight="1"/>
    <row r="344" s="4" customFormat="1" ht="17.100000000000001" customHeight="1"/>
    <row r="345" s="4" customFormat="1" ht="17.100000000000001" customHeight="1"/>
    <row r="346" s="4" customFormat="1" ht="17.100000000000001" customHeight="1"/>
    <row r="347" s="4" customFormat="1" ht="17.100000000000001" customHeight="1"/>
    <row r="348" s="4" customFormat="1" ht="17.100000000000001" customHeight="1"/>
    <row r="349" s="4" customFormat="1" ht="17.100000000000001" customHeight="1"/>
    <row r="350" s="4" customFormat="1" ht="17.100000000000001" customHeight="1"/>
    <row r="351" s="4" customFormat="1" ht="17.100000000000001" customHeight="1"/>
    <row r="352" s="4" customFormat="1" ht="17.100000000000001" customHeight="1"/>
    <row r="353" s="4" customFormat="1" ht="17.100000000000001" customHeight="1"/>
    <row r="354" s="4" customFormat="1" ht="17.100000000000001" customHeight="1"/>
    <row r="355" s="4" customFormat="1" ht="17.100000000000001" customHeight="1"/>
    <row r="356" s="4" customFormat="1" ht="17.100000000000001" customHeight="1"/>
    <row r="357" s="4" customFormat="1" ht="17.100000000000001" customHeight="1"/>
    <row r="358" s="4" customFormat="1" ht="17.100000000000001" customHeight="1"/>
    <row r="359" s="4" customFormat="1" ht="17.100000000000001" customHeight="1"/>
    <row r="360" s="4" customFormat="1" ht="17.100000000000001" customHeight="1"/>
    <row r="361" s="4" customFormat="1" ht="17.100000000000001" customHeight="1"/>
    <row r="362" s="4" customFormat="1" ht="17.100000000000001" customHeight="1"/>
    <row r="363" s="4" customFormat="1" ht="17.100000000000001" customHeight="1"/>
    <row r="364" s="4" customFormat="1" ht="17.100000000000001" customHeight="1"/>
    <row r="365" s="4" customFormat="1" ht="17.100000000000001" customHeight="1"/>
    <row r="366" s="4" customFormat="1" ht="17.100000000000001" customHeight="1"/>
    <row r="367" s="4" customFormat="1" ht="17.100000000000001" customHeight="1"/>
    <row r="368" s="4" customFormat="1" ht="17.100000000000001" customHeight="1"/>
    <row r="369" s="4" customFormat="1" ht="17.100000000000001" customHeight="1"/>
    <row r="370" s="4" customFormat="1" ht="17.100000000000001" customHeight="1"/>
    <row r="371" s="4" customFormat="1" ht="17.100000000000001" customHeight="1"/>
    <row r="372" s="4" customFormat="1" ht="17.100000000000001" customHeight="1"/>
    <row r="373" s="4" customFormat="1" ht="17.100000000000001" customHeight="1"/>
    <row r="374" s="4" customFormat="1" ht="17.100000000000001" customHeight="1"/>
    <row r="375" s="4" customFormat="1" ht="17.100000000000001" customHeight="1"/>
    <row r="376" s="4" customFormat="1" ht="17.100000000000001" customHeight="1"/>
    <row r="377" s="4" customFormat="1" ht="17.100000000000001" customHeight="1"/>
    <row r="378" s="4" customFormat="1" ht="17.100000000000001" customHeight="1"/>
    <row r="379" s="4" customFormat="1" ht="17.100000000000001" customHeight="1"/>
    <row r="380" s="4" customFormat="1" ht="17.100000000000001" customHeight="1"/>
    <row r="381" s="4" customFormat="1" ht="17.100000000000001" customHeight="1"/>
    <row r="382" s="4" customFormat="1" ht="17.100000000000001" customHeight="1"/>
    <row r="383" s="4" customFormat="1" ht="17.100000000000001" customHeight="1"/>
    <row r="384" s="4" customFormat="1" ht="17.100000000000001" customHeight="1"/>
    <row r="385" s="4" customFormat="1" ht="17.100000000000001" customHeight="1"/>
    <row r="386" s="4" customFormat="1" ht="17.100000000000001" customHeight="1"/>
    <row r="387" s="4" customFormat="1" ht="17.100000000000001" customHeight="1"/>
    <row r="388" s="4" customFormat="1" ht="17.100000000000001" customHeight="1"/>
    <row r="389" s="4" customFormat="1" ht="17.100000000000001" customHeight="1"/>
    <row r="390" s="4" customFormat="1" ht="17.100000000000001" customHeight="1"/>
    <row r="391" s="4" customFormat="1" ht="17.100000000000001" customHeight="1"/>
    <row r="392" s="4" customFormat="1" ht="17.100000000000001" customHeight="1"/>
    <row r="393" s="4" customFormat="1" ht="17.100000000000001" customHeight="1"/>
    <row r="394" s="4" customFormat="1" ht="17.100000000000001" customHeight="1"/>
    <row r="395" s="4" customFormat="1" ht="17.100000000000001" customHeight="1"/>
    <row r="396" s="4" customFormat="1" ht="17.100000000000001" customHeight="1"/>
    <row r="397" s="4" customFormat="1" ht="17.100000000000001" customHeight="1"/>
    <row r="398" s="4" customFormat="1" ht="17.100000000000001" customHeight="1"/>
    <row r="399" s="4" customFormat="1" ht="17.100000000000001" customHeight="1"/>
    <row r="400" s="4" customFormat="1" ht="17.100000000000001" customHeight="1"/>
    <row r="401" s="4" customFormat="1" ht="17.100000000000001" customHeight="1"/>
    <row r="402" s="4" customFormat="1" ht="17.100000000000001" customHeight="1"/>
    <row r="403" s="4" customFormat="1" ht="17.100000000000001" customHeight="1"/>
    <row r="404" s="4" customFormat="1" ht="17.100000000000001" customHeight="1"/>
    <row r="405" s="4" customFormat="1" ht="17.100000000000001" customHeight="1"/>
    <row r="406" s="4" customFormat="1" ht="17.100000000000001" customHeight="1"/>
    <row r="407" s="4" customFormat="1" ht="17.100000000000001" customHeight="1"/>
    <row r="408" s="4" customFormat="1" ht="17.100000000000001" customHeight="1"/>
    <row r="409" s="4" customFormat="1" ht="17.100000000000001" customHeight="1"/>
    <row r="410" s="4" customFormat="1" ht="17.100000000000001" customHeight="1"/>
    <row r="411" s="4" customFormat="1" ht="17.100000000000001" customHeight="1"/>
    <row r="412" s="4" customFormat="1" ht="17.100000000000001" customHeight="1"/>
    <row r="413" s="4" customFormat="1" ht="17.100000000000001" customHeight="1"/>
    <row r="414" s="4" customFormat="1" ht="17.100000000000001" customHeight="1"/>
    <row r="415" s="4" customFormat="1" ht="17.100000000000001" customHeight="1"/>
    <row r="416" s="4" customFormat="1" ht="17.100000000000001" customHeight="1"/>
    <row r="417" s="4" customFormat="1" ht="17.100000000000001" customHeight="1"/>
    <row r="418" s="4" customFormat="1" ht="17.100000000000001" customHeight="1"/>
    <row r="419" s="4" customFormat="1" ht="17.100000000000001" customHeight="1"/>
    <row r="420" s="4" customFormat="1" ht="17.100000000000001" customHeight="1"/>
    <row r="421" s="4" customFormat="1" ht="17.100000000000001" customHeight="1"/>
    <row r="422" s="4" customFormat="1" ht="17.100000000000001" customHeight="1"/>
    <row r="423" s="4" customFormat="1" ht="17.100000000000001" customHeight="1"/>
    <row r="424" s="4" customFormat="1" ht="17.100000000000001" customHeight="1"/>
    <row r="425" s="4" customFormat="1" ht="17.100000000000001" customHeight="1"/>
    <row r="426" s="4" customFormat="1" ht="17.100000000000001" customHeight="1"/>
    <row r="427" s="4" customFormat="1" ht="17.100000000000001" customHeight="1"/>
    <row r="428" s="4" customFormat="1" ht="17.100000000000001" customHeight="1"/>
    <row r="429" s="4" customFormat="1" ht="17.100000000000001" customHeight="1"/>
    <row r="430" s="4" customFormat="1" ht="17.100000000000001" customHeight="1"/>
    <row r="431" s="4" customFormat="1" ht="17.100000000000001" customHeight="1"/>
    <row r="432" s="4" customFormat="1" ht="17.100000000000001" customHeight="1"/>
    <row r="433" s="4" customFormat="1" ht="17.100000000000001" customHeight="1"/>
    <row r="434" s="4" customFormat="1" ht="17.100000000000001" customHeight="1"/>
    <row r="435" s="4" customFormat="1" ht="17.100000000000001" customHeight="1"/>
    <row r="436" s="4" customFormat="1" ht="17.100000000000001" customHeight="1"/>
    <row r="437" s="4" customFormat="1" ht="17.100000000000001" customHeight="1"/>
    <row r="438" s="4" customFormat="1" ht="17.100000000000001" customHeight="1"/>
    <row r="439" s="4" customFormat="1" ht="17.100000000000001" customHeight="1"/>
    <row r="440" s="4" customFormat="1" ht="17.100000000000001" customHeight="1"/>
    <row r="441" s="4" customFormat="1" ht="17.100000000000001" customHeight="1"/>
    <row r="442" s="4" customFormat="1" ht="17.100000000000001" customHeight="1"/>
    <row r="443" s="4" customFormat="1" ht="17.100000000000001" customHeight="1"/>
    <row r="444" s="4" customFormat="1" ht="17.100000000000001" customHeight="1"/>
    <row r="445" s="4" customFormat="1" ht="17.100000000000001" customHeight="1"/>
    <row r="446" s="4" customFormat="1" ht="17.100000000000001" customHeight="1"/>
    <row r="447" s="4" customFormat="1" ht="17.100000000000001" customHeight="1"/>
    <row r="448" s="4" customFormat="1" ht="17.100000000000001" customHeight="1"/>
    <row r="449" s="4" customFormat="1" ht="17.100000000000001" customHeight="1"/>
    <row r="450" s="4" customFormat="1" ht="17.100000000000001" customHeight="1"/>
    <row r="451" s="4" customFormat="1" ht="17.100000000000001" customHeight="1"/>
    <row r="452" s="4" customFormat="1" ht="17.100000000000001" customHeight="1"/>
    <row r="453" s="4" customFormat="1" ht="17.100000000000001" customHeight="1"/>
    <row r="454" s="4" customFormat="1" ht="17.100000000000001" customHeight="1"/>
    <row r="455" s="4" customFormat="1" ht="17.100000000000001" customHeight="1"/>
    <row r="456" s="4" customFormat="1" ht="17.100000000000001" customHeight="1"/>
    <row r="457" s="4" customFormat="1" ht="17.100000000000001" customHeight="1"/>
    <row r="458" s="4" customFormat="1" ht="17.100000000000001" customHeight="1"/>
    <row r="459" s="4" customFormat="1" ht="17.100000000000001" customHeight="1"/>
    <row r="460" s="4" customFormat="1" ht="17.100000000000001" customHeight="1"/>
    <row r="461" s="4" customFormat="1" ht="17.100000000000001" customHeight="1"/>
    <row r="462" s="4" customFormat="1" ht="17.100000000000001" customHeight="1"/>
    <row r="463" s="4" customFormat="1" ht="17.100000000000001" customHeight="1"/>
    <row r="464" s="4" customFormat="1" ht="17.100000000000001" customHeight="1"/>
    <row r="465" s="4" customFormat="1" ht="17.100000000000001" customHeight="1"/>
    <row r="466" s="4" customFormat="1" ht="17.100000000000001" customHeight="1"/>
    <row r="467" s="4" customFormat="1" ht="17.100000000000001" customHeight="1"/>
    <row r="468" s="4" customFormat="1" ht="17.100000000000001" customHeight="1"/>
    <row r="469" s="4" customFormat="1" ht="17.100000000000001" customHeight="1"/>
    <row r="470" s="4" customFormat="1" ht="17.100000000000001" customHeight="1"/>
    <row r="471" s="4" customFormat="1" ht="17.100000000000001" customHeight="1"/>
    <row r="472" s="4" customFormat="1" ht="17.100000000000001" customHeight="1"/>
    <row r="473" s="4" customFormat="1" ht="17.100000000000001" customHeight="1"/>
    <row r="474" s="4" customFormat="1" ht="17.100000000000001" customHeight="1"/>
    <row r="475" s="4" customFormat="1" ht="17.100000000000001" customHeight="1"/>
    <row r="476" s="4" customFormat="1" ht="17.100000000000001" customHeight="1"/>
    <row r="477" s="4" customFormat="1" ht="17.100000000000001" customHeight="1"/>
    <row r="478" s="4" customFormat="1" ht="17.100000000000001" customHeight="1"/>
    <row r="479" s="4" customFormat="1" ht="17.100000000000001" customHeight="1"/>
    <row r="480" s="4" customFormat="1" ht="17.100000000000001" customHeight="1"/>
    <row r="481" s="4" customFormat="1" ht="17.100000000000001" customHeight="1"/>
    <row r="482" s="4" customFormat="1" ht="17.100000000000001" customHeight="1"/>
    <row r="483" s="4" customFormat="1" ht="17.100000000000001" customHeight="1"/>
    <row r="484" s="4" customFormat="1" ht="17.100000000000001" customHeight="1"/>
    <row r="485" s="4" customFormat="1" ht="17.100000000000001" customHeight="1"/>
    <row r="486" s="4" customFormat="1" ht="17.100000000000001" customHeight="1"/>
    <row r="487" s="4" customFormat="1" ht="17.100000000000001" customHeight="1"/>
    <row r="488" s="4" customFormat="1" ht="17.100000000000001" customHeight="1"/>
    <row r="489" s="4" customFormat="1" ht="17.100000000000001" customHeight="1"/>
    <row r="490" s="4" customFormat="1" ht="17.100000000000001" customHeight="1"/>
    <row r="491" s="4" customFormat="1" ht="17.100000000000001" customHeight="1"/>
    <row r="492" s="4" customFormat="1" ht="17.100000000000001" customHeight="1"/>
    <row r="493" s="4" customFormat="1" ht="17.100000000000001" customHeight="1"/>
    <row r="494" s="4" customFormat="1" ht="17.100000000000001" customHeight="1"/>
    <row r="495" s="4" customFormat="1" ht="17.100000000000001" customHeight="1"/>
    <row r="496" s="4" customFormat="1" ht="17.100000000000001" customHeight="1"/>
    <row r="497" s="4" customFormat="1" ht="17.100000000000001" customHeight="1"/>
    <row r="498" s="4" customFormat="1" ht="17.100000000000001" customHeight="1"/>
    <row r="499" s="4" customFormat="1" ht="17.100000000000001" customHeight="1"/>
    <row r="500" s="4" customFormat="1" ht="17.100000000000001" customHeight="1"/>
    <row r="501" s="4" customFormat="1" ht="17.100000000000001" customHeight="1"/>
    <row r="502" s="4" customFormat="1" ht="17.100000000000001" customHeight="1"/>
    <row r="503" s="4" customFormat="1" ht="17.100000000000001" customHeight="1"/>
    <row r="504" s="4" customFormat="1" ht="17.100000000000001" customHeight="1"/>
    <row r="505" s="4" customFormat="1" ht="17.100000000000001" customHeight="1"/>
    <row r="506" s="4" customFormat="1" ht="17.100000000000001" customHeight="1"/>
    <row r="507" s="4" customFormat="1" ht="17.100000000000001" customHeight="1"/>
    <row r="508" s="4" customFormat="1" ht="17.100000000000001" customHeight="1"/>
    <row r="509" s="4" customFormat="1" ht="17.100000000000001" customHeight="1"/>
    <row r="510" s="4" customFormat="1" ht="17.100000000000001" customHeight="1"/>
    <row r="511" s="4" customFormat="1" ht="17.100000000000001" customHeight="1"/>
    <row r="512" s="4" customFormat="1" ht="17.100000000000001" customHeight="1"/>
    <row r="513" s="4" customFormat="1" ht="17.100000000000001" customHeight="1"/>
    <row r="514" s="4" customFormat="1" ht="17.100000000000001" customHeight="1"/>
    <row r="515" s="4" customFormat="1" ht="17.100000000000001" customHeight="1"/>
    <row r="516" s="4" customFormat="1" ht="17.100000000000001" customHeight="1"/>
    <row r="517" s="4" customFormat="1" ht="17.100000000000001" customHeight="1"/>
    <row r="518" s="4" customFormat="1" ht="17.100000000000001" customHeight="1"/>
    <row r="519" s="4" customFormat="1" ht="17.100000000000001" customHeight="1"/>
    <row r="520" s="4" customFormat="1" ht="17.100000000000001" customHeight="1"/>
    <row r="521" s="4" customFormat="1" ht="17.100000000000001" customHeight="1"/>
    <row r="522" s="4" customFormat="1" ht="17.100000000000001" customHeight="1"/>
    <row r="523" s="4" customFormat="1" ht="17.100000000000001" customHeight="1"/>
    <row r="524" s="4" customFormat="1" ht="17.100000000000001" customHeight="1"/>
    <row r="525" s="4" customFormat="1" ht="17.100000000000001" customHeight="1"/>
    <row r="526" s="4" customFormat="1" ht="17.100000000000001" customHeight="1"/>
    <row r="527" s="4" customFormat="1" ht="17.100000000000001" customHeight="1"/>
    <row r="528" s="4" customFormat="1" ht="17.100000000000001" customHeight="1"/>
    <row r="529" s="4" customFormat="1" ht="17.100000000000001" customHeight="1"/>
    <row r="530" s="4" customFormat="1" ht="17.100000000000001" customHeight="1"/>
    <row r="531" s="4" customFormat="1" ht="17.100000000000001" customHeight="1"/>
    <row r="532" s="4" customFormat="1" ht="17.100000000000001" customHeight="1"/>
    <row r="533" s="4" customFormat="1" ht="17.100000000000001" customHeight="1"/>
    <row r="534" s="4" customFormat="1" ht="17.100000000000001" customHeight="1"/>
    <row r="535" s="4" customFormat="1" ht="17.100000000000001" customHeight="1"/>
    <row r="536" s="4" customFormat="1" ht="17.100000000000001" customHeight="1"/>
    <row r="537" s="4" customFormat="1" ht="17.100000000000001" customHeight="1"/>
    <row r="538" s="4" customFormat="1" ht="17.100000000000001" customHeight="1"/>
    <row r="539" s="4" customFormat="1" ht="17.100000000000001" customHeight="1"/>
    <row r="540" s="4" customFormat="1" ht="17.100000000000001" customHeight="1"/>
    <row r="541" s="4" customFormat="1" ht="17.100000000000001" customHeight="1"/>
    <row r="542" s="4" customFormat="1" ht="17.100000000000001" customHeight="1"/>
    <row r="543" s="4" customFormat="1" ht="17.100000000000001" customHeight="1"/>
    <row r="544" s="4" customFormat="1" ht="17.100000000000001" customHeight="1"/>
    <row r="545" s="4" customFormat="1" ht="17.100000000000001" customHeight="1"/>
    <row r="546" s="4" customFormat="1" ht="17.100000000000001" customHeight="1"/>
    <row r="547" s="4" customFormat="1" ht="17.100000000000001" customHeight="1"/>
    <row r="548" s="4" customFormat="1" ht="17.100000000000001" customHeight="1"/>
    <row r="549" s="4" customFormat="1" ht="17.100000000000001" customHeight="1"/>
    <row r="550" s="4" customFormat="1" ht="17.100000000000001" customHeight="1"/>
    <row r="551" s="4" customFormat="1" ht="17.100000000000001" customHeight="1"/>
    <row r="552" s="4" customFormat="1" ht="17.100000000000001" customHeight="1"/>
    <row r="553" s="4" customFormat="1" ht="17.100000000000001" customHeight="1"/>
    <row r="554" s="4" customFormat="1" ht="17.100000000000001" customHeight="1"/>
    <row r="555" s="4" customFormat="1" ht="17.100000000000001" customHeight="1"/>
    <row r="556" s="4" customFormat="1" ht="17.100000000000001" customHeight="1"/>
    <row r="557" s="4" customFormat="1" ht="17.100000000000001" customHeight="1"/>
    <row r="558" s="4" customFormat="1" ht="17.100000000000001" customHeight="1"/>
    <row r="559" s="4" customFormat="1" ht="17.100000000000001" customHeight="1"/>
    <row r="560" s="4" customFormat="1" ht="17.100000000000001" customHeight="1"/>
    <row r="561" s="4" customFormat="1" ht="17.100000000000001" customHeight="1"/>
    <row r="562" s="4" customFormat="1" ht="17.100000000000001" customHeight="1"/>
    <row r="563" s="4" customFormat="1" ht="17.100000000000001" customHeight="1"/>
    <row r="564" s="4" customFormat="1" ht="17.100000000000001" customHeight="1"/>
    <row r="565" s="4" customFormat="1" ht="17.100000000000001" customHeight="1"/>
    <row r="566" s="4" customFormat="1" ht="17.100000000000001" customHeight="1"/>
    <row r="567" s="4" customFormat="1" ht="17.100000000000001" customHeight="1"/>
    <row r="568" s="4" customFormat="1" ht="17.100000000000001" customHeight="1"/>
    <row r="569" s="4" customFormat="1" ht="17.100000000000001" customHeight="1"/>
    <row r="570" s="4" customFormat="1" ht="17.100000000000001" customHeight="1"/>
    <row r="571" s="4" customFormat="1" ht="17.100000000000001" customHeight="1"/>
    <row r="572" s="4" customFormat="1" ht="17.100000000000001" customHeight="1"/>
    <row r="573" s="4" customFormat="1" ht="17.100000000000001" customHeight="1"/>
    <row r="574" s="4" customFormat="1" ht="17.100000000000001" customHeight="1"/>
    <row r="575" s="4" customFormat="1" ht="17.100000000000001" customHeight="1"/>
    <row r="576" s="4" customFormat="1" ht="17.100000000000001" customHeight="1"/>
    <row r="577" s="4" customFormat="1" ht="17.100000000000001" customHeight="1"/>
    <row r="578" s="4" customFormat="1" ht="17.100000000000001" customHeight="1"/>
    <row r="579" s="4" customFormat="1" ht="17.100000000000001" customHeight="1"/>
    <row r="580" s="4" customFormat="1" ht="17.100000000000001" customHeight="1"/>
    <row r="581" s="4" customFormat="1" ht="17.100000000000001" customHeight="1"/>
    <row r="582" s="4" customFormat="1" ht="17.100000000000001" customHeight="1"/>
    <row r="583" s="4" customFormat="1" ht="17.100000000000001" customHeight="1"/>
    <row r="584" s="4" customFormat="1" ht="17.100000000000001" customHeight="1"/>
    <row r="585" s="4" customFormat="1" ht="17.100000000000001" customHeight="1"/>
    <row r="586" s="4" customFormat="1" ht="17.100000000000001" customHeight="1"/>
    <row r="587" s="4" customFormat="1" ht="17.100000000000001" customHeight="1"/>
    <row r="588" s="4" customFormat="1" ht="17.100000000000001" customHeight="1"/>
    <row r="589" s="4" customFormat="1" ht="17.100000000000001" customHeight="1"/>
    <row r="590" s="4" customFormat="1" ht="17.100000000000001" customHeight="1"/>
    <row r="591" s="4" customFormat="1" ht="17.100000000000001" customHeight="1"/>
    <row r="592" s="4" customFormat="1" ht="17.100000000000001" customHeight="1"/>
    <row r="593" s="4" customFormat="1" ht="17.100000000000001" customHeight="1"/>
    <row r="594" s="4" customFormat="1" ht="17.100000000000001" customHeight="1"/>
    <row r="595" s="4" customFormat="1" ht="17.100000000000001" customHeight="1"/>
    <row r="596" s="4" customFormat="1" ht="17.100000000000001" customHeight="1"/>
    <row r="597" s="4" customFormat="1" ht="17.100000000000001" customHeight="1"/>
    <row r="598" s="4" customFormat="1" ht="17.100000000000001" customHeight="1"/>
    <row r="599" s="4" customFormat="1" ht="17.100000000000001" customHeight="1"/>
    <row r="600" s="4" customFormat="1" ht="17.100000000000001" customHeight="1"/>
    <row r="601" s="4" customFormat="1" ht="17.100000000000001" customHeight="1"/>
    <row r="602" s="4" customFormat="1" ht="17.100000000000001" customHeight="1"/>
    <row r="603" s="4" customFormat="1" ht="17.100000000000001" customHeight="1"/>
    <row r="604" s="4" customFormat="1" ht="17.100000000000001" customHeight="1"/>
    <row r="605" s="4" customFormat="1" ht="17.100000000000001" customHeight="1"/>
    <row r="606" s="4" customFormat="1" ht="17.100000000000001" customHeight="1"/>
    <row r="607" s="4" customFormat="1" ht="17.100000000000001" customHeight="1"/>
    <row r="608" s="4" customFormat="1" ht="17.100000000000001" customHeight="1"/>
    <row r="609" s="4" customFormat="1" ht="17.100000000000001" customHeight="1"/>
    <row r="610" s="4" customFormat="1" ht="17.100000000000001" customHeight="1"/>
    <row r="611" s="4" customFormat="1" ht="17.100000000000001" customHeight="1"/>
    <row r="612" s="4" customFormat="1" ht="17.100000000000001" customHeight="1"/>
    <row r="613" s="4" customFormat="1" ht="17.100000000000001" customHeight="1"/>
    <row r="614" s="4" customFormat="1" ht="17.100000000000001" customHeight="1"/>
    <row r="615" s="4" customFormat="1" ht="17.100000000000001" customHeight="1"/>
    <row r="616" s="4" customFormat="1" ht="17.100000000000001" customHeight="1"/>
    <row r="617" s="4" customFormat="1" ht="17.100000000000001" customHeight="1"/>
    <row r="618" s="4" customFormat="1" ht="17.100000000000001" customHeight="1"/>
    <row r="619" s="4" customFormat="1" ht="17.100000000000001" customHeight="1"/>
    <row r="620" s="4" customFormat="1" ht="17.100000000000001" customHeight="1"/>
    <row r="621" s="4" customFormat="1" ht="17.100000000000001" customHeight="1"/>
    <row r="622" s="4" customFormat="1" ht="17.100000000000001" customHeight="1"/>
    <row r="623" s="4" customFormat="1" ht="17.100000000000001" customHeight="1"/>
    <row r="624" s="4" customFormat="1" ht="17.100000000000001" customHeight="1"/>
    <row r="625" s="4" customFormat="1" ht="17.100000000000001" customHeight="1"/>
    <row r="626" s="4" customFormat="1" ht="17.100000000000001" customHeight="1"/>
    <row r="627" s="4" customFormat="1" ht="17.100000000000001" customHeight="1"/>
    <row r="628" s="4" customFormat="1" ht="17.100000000000001" customHeight="1"/>
    <row r="629" s="4" customFormat="1" ht="17.100000000000001" customHeight="1"/>
    <row r="630" s="4" customFormat="1" ht="17.100000000000001" customHeight="1"/>
    <row r="631" s="4" customFormat="1" ht="17.100000000000001" customHeight="1"/>
    <row r="632" s="4" customFormat="1" ht="17.100000000000001" customHeight="1"/>
    <row r="633" s="4" customFormat="1" ht="17.100000000000001" customHeight="1"/>
    <row r="634" s="4" customFormat="1" ht="17.100000000000001" customHeight="1"/>
    <row r="635" s="4" customFormat="1" ht="17.100000000000001" customHeight="1"/>
    <row r="636" s="4" customFormat="1" ht="17.100000000000001" customHeight="1"/>
    <row r="637" s="4" customFormat="1" ht="17.100000000000001" customHeight="1"/>
    <row r="638" s="4" customFormat="1" ht="17.100000000000001" customHeight="1"/>
    <row r="639" s="4" customFormat="1" ht="17.100000000000001" customHeight="1"/>
    <row r="640" s="4" customFormat="1" ht="17.100000000000001" customHeight="1"/>
    <row r="641" s="4" customFormat="1" ht="17.100000000000001" customHeight="1"/>
    <row r="642" s="4" customFormat="1" ht="17.100000000000001" customHeight="1"/>
    <row r="643" s="4" customFormat="1" ht="17.100000000000001" customHeight="1"/>
    <row r="644" s="4" customFormat="1" ht="17.100000000000001" customHeight="1"/>
    <row r="645" s="4" customFormat="1" ht="17.100000000000001" customHeight="1"/>
    <row r="646" s="4" customFormat="1" ht="17.100000000000001" customHeight="1"/>
    <row r="647" s="4" customFormat="1" ht="17.100000000000001" customHeight="1"/>
    <row r="648" s="4" customFormat="1" ht="17.100000000000001" customHeight="1"/>
    <row r="649" s="4" customFormat="1" ht="17.100000000000001" customHeight="1"/>
    <row r="650" s="4" customFormat="1" ht="17.100000000000001" customHeight="1"/>
    <row r="651" s="4" customFormat="1" ht="17.100000000000001" customHeight="1"/>
    <row r="652" s="4" customFormat="1" ht="17.100000000000001" customHeight="1"/>
    <row r="653" s="4" customFormat="1" ht="17.100000000000001" customHeight="1"/>
    <row r="654" s="4" customFormat="1" ht="17.100000000000001" customHeight="1"/>
    <row r="655" s="4" customFormat="1" ht="17.100000000000001" customHeight="1"/>
    <row r="656" s="4" customFormat="1" ht="17.100000000000001" customHeight="1"/>
    <row r="657" s="4" customFormat="1" ht="17.100000000000001" customHeight="1"/>
    <row r="658" s="4" customFormat="1" ht="17.100000000000001" customHeight="1"/>
    <row r="659" s="4" customFormat="1" ht="17.100000000000001" customHeight="1"/>
    <row r="660" s="4" customFormat="1" ht="17.100000000000001" customHeight="1"/>
    <row r="661" s="4" customFormat="1" ht="17.100000000000001" customHeight="1"/>
    <row r="662" s="4" customFormat="1" ht="17.100000000000001" customHeight="1"/>
    <row r="663" s="4" customFormat="1" ht="17.100000000000001" customHeight="1"/>
    <row r="664" s="4" customFormat="1" ht="17.100000000000001" customHeight="1"/>
    <row r="665" s="4" customFormat="1" ht="17.100000000000001" customHeight="1"/>
    <row r="666" s="4" customFormat="1" ht="17.100000000000001" customHeight="1"/>
    <row r="667" s="4" customFormat="1" ht="17.100000000000001" customHeight="1"/>
    <row r="668" s="4" customFormat="1" ht="17.100000000000001" customHeight="1"/>
    <row r="669" s="4" customFormat="1" ht="17.100000000000001" customHeight="1"/>
    <row r="670" s="4" customFormat="1" ht="17.100000000000001" customHeight="1"/>
    <row r="671" s="4" customFormat="1" ht="17.100000000000001" customHeight="1"/>
    <row r="672" s="4" customFormat="1" ht="17.100000000000001" customHeight="1"/>
    <row r="673" s="4" customFormat="1" ht="17.100000000000001" customHeight="1"/>
    <row r="674" s="4" customFormat="1" ht="17.100000000000001" customHeight="1"/>
    <row r="675" s="4" customFormat="1" ht="17.100000000000001" customHeight="1"/>
    <row r="676" s="4" customFormat="1" ht="17.100000000000001" customHeight="1"/>
    <row r="677" s="4" customFormat="1" ht="17.100000000000001" customHeight="1"/>
    <row r="678" s="4" customFormat="1" ht="17.100000000000001" customHeight="1"/>
    <row r="679" s="4" customFormat="1" ht="17.100000000000001" customHeight="1"/>
    <row r="680" s="4" customFormat="1" ht="17.100000000000001" customHeight="1"/>
    <row r="681" s="4" customFormat="1" ht="17.100000000000001" customHeight="1"/>
    <row r="682" s="4" customFormat="1" ht="17.100000000000001" customHeight="1"/>
    <row r="683" s="4" customFormat="1" ht="17.100000000000001" customHeight="1"/>
    <row r="684" s="4" customFormat="1" ht="17.100000000000001" customHeight="1"/>
    <row r="685" s="4" customFormat="1" ht="17.100000000000001" customHeight="1"/>
    <row r="686" s="4" customFormat="1" ht="17.100000000000001" customHeight="1"/>
    <row r="687" s="4" customFormat="1" ht="17.100000000000001" customHeight="1"/>
    <row r="688" s="4" customFormat="1" ht="17.100000000000001" customHeight="1"/>
    <row r="689" s="4" customFormat="1" ht="17.100000000000001" customHeight="1"/>
    <row r="690" s="4" customFormat="1" ht="17.100000000000001" customHeight="1"/>
    <row r="691" s="4" customFormat="1" ht="17.100000000000001" customHeight="1"/>
    <row r="692" s="4" customFormat="1" ht="17.100000000000001" customHeight="1"/>
    <row r="693" s="4" customFormat="1" ht="17.100000000000001" customHeight="1"/>
    <row r="694" s="4" customFormat="1" ht="17.100000000000001" customHeight="1"/>
    <row r="695" s="4" customFormat="1" ht="17.100000000000001" customHeight="1"/>
    <row r="696" s="4" customFormat="1" ht="17.100000000000001" customHeight="1"/>
    <row r="697" s="4" customFormat="1" ht="17.100000000000001" customHeight="1"/>
    <row r="698" s="4" customFormat="1" ht="17.100000000000001" customHeight="1"/>
    <row r="699" s="4" customFormat="1" ht="17.100000000000001" customHeight="1"/>
    <row r="700" s="4" customFormat="1" ht="17.100000000000001" customHeight="1"/>
    <row r="701" s="4" customFormat="1" ht="17.100000000000001" customHeight="1"/>
    <row r="702" s="4" customFormat="1" ht="17.100000000000001" customHeight="1"/>
    <row r="703" s="4" customFormat="1" ht="17.100000000000001" customHeight="1"/>
    <row r="704" s="4" customFormat="1" ht="17.100000000000001" customHeight="1"/>
    <row r="705" s="4" customFormat="1" ht="17.100000000000001" customHeight="1"/>
    <row r="706" s="4" customFormat="1" ht="17.100000000000001" customHeight="1"/>
    <row r="707" s="4" customFormat="1" ht="17.100000000000001" customHeight="1"/>
    <row r="708" s="4" customFormat="1" ht="17.100000000000001" customHeight="1"/>
    <row r="709" s="4" customFormat="1" ht="17.100000000000001" customHeight="1"/>
    <row r="710" s="4" customFormat="1" ht="17.100000000000001" customHeight="1"/>
    <row r="711" s="4" customFormat="1" ht="17.100000000000001" customHeight="1"/>
    <row r="712" s="4" customFormat="1" ht="17.100000000000001" customHeight="1"/>
    <row r="713" s="4" customFormat="1" ht="17.100000000000001" customHeight="1"/>
    <row r="714" s="4" customFormat="1" ht="17.100000000000001" customHeight="1"/>
    <row r="715" s="4" customFormat="1" ht="17.100000000000001" customHeight="1"/>
    <row r="716" s="4" customFormat="1" ht="17.100000000000001" customHeight="1"/>
    <row r="717" s="4" customFormat="1" ht="17.100000000000001" customHeight="1"/>
    <row r="718" s="4" customFormat="1" ht="17.100000000000001" customHeight="1"/>
    <row r="719" s="4" customFormat="1" ht="17.100000000000001" customHeight="1"/>
    <row r="720" s="4" customFormat="1" ht="17.100000000000001" customHeight="1"/>
    <row r="721" s="4" customFormat="1" ht="17.100000000000001" customHeight="1"/>
    <row r="722" s="4" customFormat="1" ht="17.100000000000001" customHeight="1"/>
    <row r="723" s="4" customFormat="1" ht="17.100000000000001" customHeight="1"/>
    <row r="724" s="4" customFormat="1" ht="17.100000000000001" customHeight="1"/>
    <row r="725" s="4" customFormat="1" ht="17.100000000000001" customHeight="1"/>
    <row r="726" s="4" customFormat="1" ht="17.100000000000001" customHeight="1"/>
    <row r="727" s="4" customFormat="1" ht="17.100000000000001" customHeight="1"/>
    <row r="728" s="4" customFormat="1" ht="17.100000000000001" customHeight="1"/>
    <row r="729" s="4" customFormat="1" ht="17.100000000000001" customHeight="1"/>
    <row r="730" s="4" customFormat="1" ht="17.100000000000001" customHeight="1"/>
    <row r="731" s="4" customFormat="1" ht="17.100000000000001" customHeight="1"/>
    <row r="732" s="4" customFormat="1" ht="17.100000000000001" customHeight="1"/>
    <row r="733" s="4" customFormat="1" ht="17.100000000000001" customHeight="1"/>
    <row r="734" s="4" customFormat="1" ht="17.100000000000001" customHeight="1"/>
    <row r="735" s="4" customFormat="1" ht="17.100000000000001" customHeight="1"/>
    <row r="736" s="4" customFormat="1" ht="17.100000000000001" customHeight="1"/>
    <row r="737" s="4" customFormat="1" ht="17.100000000000001" customHeight="1"/>
    <row r="738" s="4" customFormat="1" ht="17.100000000000001" customHeight="1"/>
    <row r="739" s="4" customFormat="1" ht="17.100000000000001" customHeight="1"/>
    <row r="740" s="4" customFormat="1" ht="17.100000000000001" customHeight="1"/>
    <row r="741" s="4" customFormat="1" ht="17.100000000000001" customHeight="1"/>
    <row r="742" s="4" customFormat="1" ht="17.100000000000001" customHeight="1"/>
    <row r="743" s="4" customFormat="1" ht="17.100000000000001" customHeight="1"/>
    <row r="744" s="4" customFormat="1" ht="17.100000000000001" customHeight="1"/>
    <row r="745" s="4" customFormat="1" ht="17.100000000000001" customHeight="1"/>
    <row r="746" s="4" customFormat="1" ht="17.100000000000001" customHeight="1"/>
    <row r="747" s="4" customFormat="1" ht="17.100000000000001" customHeight="1"/>
    <row r="748" s="4" customFormat="1" ht="17.100000000000001" customHeight="1"/>
    <row r="749" s="4" customFormat="1" ht="17.100000000000001" customHeight="1"/>
    <row r="750" s="4" customFormat="1" ht="17.100000000000001" customHeight="1"/>
    <row r="751" s="4" customFormat="1" ht="17.100000000000001" customHeight="1"/>
    <row r="752" s="4" customFormat="1" ht="17.100000000000001" customHeight="1"/>
    <row r="753" s="4" customFormat="1" ht="17.100000000000001" customHeight="1"/>
    <row r="754" s="4" customFormat="1" ht="17.100000000000001" customHeight="1"/>
    <row r="755" s="4" customFormat="1" ht="17.100000000000001" customHeight="1"/>
    <row r="756" s="4" customFormat="1" ht="17.100000000000001" customHeight="1"/>
    <row r="757" s="4" customFormat="1" ht="17.100000000000001" customHeight="1"/>
    <row r="758" s="4" customFormat="1" ht="17.100000000000001" customHeight="1"/>
    <row r="759" s="4" customFormat="1" ht="17.100000000000001" customHeight="1"/>
    <row r="760" s="4" customFormat="1" ht="17.100000000000001" customHeight="1"/>
    <row r="761" s="4" customFormat="1" ht="17.100000000000001" customHeight="1"/>
    <row r="762" s="4" customFormat="1" ht="17.100000000000001" customHeight="1"/>
    <row r="763" s="4" customFormat="1" ht="17.100000000000001" customHeight="1"/>
    <row r="764" s="4" customFormat="1" ht="17.100000000000001" customHeight="1"/>
    <row r="765" s="4" customFormat="1" ht="17.100000000000001" customHeight="1"/>
    <row r="766" s="4" customFormat="1" ht="17.100000000000001" customHeight="1"/>
    <row r="767" s="4" customFormat="1" ht="17.100000000000001" customHeight="1"/>
    <row r="768" s="4" customFormat="1" ht="17.100000000000001" customHeight="1"/>
    <row r="769" s="4" customFormat="1" ht="17.100000000000001" customHeight="1"/>
    <row r="770" s="4" customFormat="1" ht="17.100000000000001" customHeight="1"/>
    <row r="771" s="4" customFormat="1" ht="17.100000000000001" customHeight="1"/>
    <row r="772" s="4" customFormat="1" ht="17.100000000000001" customHeight="1"/>
    <row r="773" s="4" customFormat="1" ht="17.100000000000001" customHeight="1"/>
    <row r="774" s="4" customFormat="1" ht="17.100000000000001" customHeight="1"/>
    <row r="775" s="4" customFormat="1" ht="17.100000000000001" customHeight="1"/>
    <row r="776" s="4" customFormat="1" ht="17.100000000000001" customHeight="1"/>
    <row r="777" s="4" customFormat="1" ht="17.100000000000001" customHeight="1"/>
    <row r="778" s="4" customFormat="1" ht="17.100000000000001" customHeight="1"/>
    <row r="779" s="4" customFormat="1" ht="17.100000000000001" customHeight="1"/>
    <row r="780" s="4" customFormat="1" ht="17.100000000000001" customHeight="1"/>
    <row r="781" s="4" customFormat="1" ht="17.100000000000001" customHeight="1"/>
    <row r="782" s="4" customFormat="1" ht="17.100000000000001" customHeight="1"/>
    <row r="783" s="4" customFormat="1" ht="17.100000000000001" customHeight="1"/>
    <row r="784" s="4" customFormat="1" ht="17.100000000000001" customHeight="1"/>
    <row r="785" s="4" customFormat="1" ht="17.100000000000001" customHeight="1"/>
    <row r="786" s="4" customFormat="1" ht="17.100000000000001" customHeight="1"/>
    <row r="787" s="4" customFormat="1" ht="17.100000000000001" customHeight="1"/>
    <row r="788" s="4" customFormat="1" ht="17.100000000000001" customHeight="1"/>
    <row r="789" s="4" customFormat="1" ht="17.100000000000001" customHeight="1"/>
    <row r="790" s="4" customFormat="1" ht="17.100000000000001" customHeight="1"/>
    <row r="791" s="4" customFormat="1" ht="17.100000000000001" customHeight="1"/>
    <row r="792" s="4" customFormat="1" ht="17.100000000000001" customHeight="1"/>
    <row r="793" s="4" customFormat="1" ht="17.100000000000001" customHeight="1"/>
    <row r="794" s="4" customFormat="1" ht="17.100000000000001" customHeight="1"/>
    <row r="795" s="4" customFormat="1" ht="17.100000000000001" customHeight="1"/>
    <row r="796" s="4" customFormat="1" ht="17.100000000000001" customHeight="1"/>
    <row r="797" s="4" customFormat="1" ht="17.100000000000001" customHeight="1"/>
    <row r="798" s="4" customFormat="1" ht="17.100000000000001" customHeight="1"/>
    <row r="799" s="4" customFormat="1" ht="17.100000000000001" customHeight="1"/>
    <row r="800" s="4" customFormat="1" ht="17.100000000000001" customHeight="1"/>
    <row r="801" s="4" customFormat="1" ht="17.100000000000001" customHeight="1"/>
    <row r="802" s="4" customFormat="1" ht="17.100000000000001" customHeight="1"/>
    <row r="803" s="4" customFormat="1" ht="17.100000000000001" customHeight="1"/>
    <row r="804" s="4" customFormat="1" ht="17.100000000000001" customHeight="1"/>
    <row r="805" s="4" customFormat="1" ht="17.100000000000001" customHeight="1"/>
    <row r="806" s="4" customFormat="1" ht="17.100000000000001" customHeight="1"/>
    <row r="807" s="4" customFormat="1" ht="17.100000000000001" customHeight="1"/>
    <row r="808" s="4" customFormat="1" ht="17.100000000000001" customHeight="1"/>
    <row r="809" s="4" customFormat="1" ht="17.100000000000001" customHeight="1"/>
    <row r="810" s="4" customFormat="1" ht="17.100000000000001" customHeight="1"/>
    <row r="811" s="4" customFormat="1" ht="17.100000000000001" customHeight="1"/>
    <row r="812" s="4" customFormat="1" ht="17.100000000000001" customHeight="1"/>
    <row r="813" s="4" customFormat="1" ht="17.100000000000001" customHeight="1"/>
    <row r="814" s="4" customFormat="1" ht="17.100000000000001" customHeight="1"/>
    <row r="815" s="4" customFormat="1" ht="17.100000000000001" customHeight="1"/>
    <row r="816" s="4" customFormat="1" ht="17.100000000000001" customHeight="1"/>
    <row r="817" s="4" customFormat="1" ht="17.100000000000001" customHeight="1"/>
    <row r="818" s="4" customFormat="1" ht="17.100000000000001" customHeight="1"/>
    <row r="819" s="4" customFormat="1" ht="17.100000000000001" customHeight="1"/>
    <row r="820" s="4" customFormat="1" ht="17.100000000000001" customHeight="1"/>
    <row r="821" s="4" customFormat="1" ht="17.100000000000001" customHeight="1"/>
    <row r="822" s="4" customFormat="1" ht="17.100000000000001" customHeight="1"/>
    <row r="823" s="4" customFormat="1" ht="17.100000000000001" customHeight="1"/>
    <row r="824" s="4" customFormat="1" ht="17.100000000000001" customHeight="1"/>
    <row r="825" s="4" customFormat="1" ht="17.100000000000001" customHeight="1"/>
    <row r="826" s="4" customFormat="1" ht="17.100000000000001" customHeight="1"/>
    <row r="827" s="4" customFormat="1" ht="17.100000000000001" customHeight="1"/>
    <row r="828" s="4" customFormat="1" ht="17.100000000000001" customHeight="1"/>
    <row r="829" s="4" customFormat="1" ht="17.100000000000001" customHeight="1"/>
    <row r="830" s="4" customFormat="1" ht="17.100000000000001" customHeight="1"/>
    <row r="831" s="4" customFormat="1" ht="17.100000000000001" customHeight="1"/>
    <row r="832" s="4" customFormat="1" ht="17.100000000000001" customHeight="1"/>
    <row r="833" s="4" customFormat="1" ht="17.100000000000001" customHeight="1"/>
    <row r="834" s="4" customFormat="1" ht="17.100000000000001" customHeight="1"/>
    <row r="835" s="4" customFormat="1" ht="17.100000000000001" customHeight="1"/>
    <row r="836" s="4" customFormat="1" ht="17.100000000000001" customHeight="1"/>
    <row r="837" s="4" customFormat="1" ht="17.100000000000001" customHeight="1"/>
    <row r="838" s="4" customFormat="1" ht="17.100000000000001" customHeight="1"/>
    <row r="839" s="4" customFormat="1" ht="17.100000000000001" customHeight="1"/>
    <row r="840" s="4" customFormat="1" ht="17.100000000000001" customHeight="1"/>
    <row r="841" s="4" customFormat="1" ht="17.100000000000001" customHeight="1"/>
    <row r="842" s="4" customFormat="1" ht="17.100000000000001" customHeight="1"/>
    <row r="843" s="4" customFormat="1" ht="17.100000000000001" customHeight="1"/>
    <row r="844" s="4" customFormat="1" ht="17.100000000000001" customHeight="1"/>
    <row r="845" s="4" customFormat="1" ht="17.100000000000001" customHeight="1"/>
    <row r="846" s="4" customFormat="1" ht="17.100000000000001" customHeight="1"/>
    <row r="847" s="4" customFormat="1" ht="17.100000000000001" customHeight="1"/>
    <row r="848" s="4" customFormat="1" ht="17.100000000000001" customHeight="1"/>
    <row r="849" s="4" customFormat="1" ht="17.100000000000001" customHeight="1"/>
    <row r="850" s="4" customFormat="1" ht="17.100000000000001" customHeight="1"/>
    <row r="851" s="4" customFormat="1" ht="17.100000000000001" customHeight="1"/>
    <row r="852" s="4" customFormat="1" ht="17.100000000000001" customHeight="1"/>
    <row r="853" s="4" customFormat="1" ht="17.100000000000001" customHeight="1"/>
    <row r="854" s="4" customFormat="1" ht="17.100000000000001" customHeight="1"/>
    <row r="855" s="4" customFormat="1" ht="17.100000000000001" customHeight="1"/>
    <row r="856" s="4" customFormat="1" ht="17.100000000000001" customHeight="1"/>
    <row r="857" s="4" customFormat="1" ht="17.100000000000001" customHeight="1"/>
    <row r="858" s="4" customFormat="1" ht="17.100000000000001" customHeight="1"/>
    <row r="859" s="4" customFormat="1" ht="17.100000000000001" customHeight="1"/>
    <row r="860" s="4" customFormat="1" ht="17.100000000000001" customHeight="1"/>
    <row r="861" s="4" customFormat="1" ht="17.100000000000001" customHeight="1"/>
    <row r="862" s="4" customFormat="1" ht="17.100000000000001" customHeight="1"/>
    <row r="863" s="4" customFormat="1" ht="17.100000000000001" customHeight="1"/>
    <row r="864" s="4" customFormat="1" ht="17.100000000000001" customHeight="1"/>
    <row r="865" s="4" customFormat="1" ht="17.100000000000001" customHeight="1"/>
    <row r="866" s="4" customFormat="1" ht="17.100000000000001" customHeight="1"/>
    <row r="867" s="4" customFormat="1" ht="17.100000000000001" customHeight="1"/>
    <row r="868" s="4" customFormat="1" ht="17.100000000000001" customHeight="1"/>
    <row r="869" s="4" customFormat="1" ht="17.100000000000001" customHeight="1"/>
    <row r="870" s="4" customFormat="1" ht="17.100000000000001" customHeight="1"/>
    <row r="871" s="4" customFormat="1" ht="17.100000000000001" customHeight="1"/>
    <row r="872" s="4" customFormat="1" ht="17.100000000000001" customHeight="1"/>
    <row r="873" s="4" customFormat="1" ht="17.100000000000001" customHeight="1"/>
    <row r="874" s="4" customFormat="1" ht="17.100000000000001" customHeight="1"/>
    <row r="875" s="4" customFormat="1" ht="17.100000000000001" customHeight="1"/>
    <row r="876" s="4" customFormat="1" ht="17.100000000000001" customHeight="1"/>
    <row r="877" s="4" customFormat="1" ht="17.100000000000001" customHeight="1"/>
    <row r="878" s="4" customFormat="1" ht="17.100000000000001" customHeight="1"/>
    <row r="879" s="4" customFormat="1" ht="17.100000000000001" customHeight="1"/>
    <row r="880" s="4" customFormat="1" ht="17.100000000000001" customHeight="1"/>
    <row r="881" s="4" customFormat="1" ht="17.100000000000001" customHeight="1"/>
    <row r="882" s="4" customFormat="1" ht="17.100000000000001" customHeight="1"/>
    <row r="883" s="4" customFormat="1" ht="17.100000000000001" customHeight="1"/>
    <row r="884" s="4" customFormat="1" ht="17.100000000000001" customHeight="1"/>
    <row r="885" s="4" customFormat="1" ht="17.100000000000001" customHeight="1"/>
    <row r="886" s="4" customFormat="1" ht="17.100000000000001" customHeight="1"/>
    <row r="887" s="4" customFormat="1" ht="17.100000000000001" customHeight="1"/>
    <row r="888" s="4" customFormat="1" ht="17.100000000000001" customHeight="1"/>
    <row r="889" s="4" customFormat="1" ht="17.100000000000001" customHeight="1"/>
    <row r="890" s="4" customFormat="1" ht="17.100000000000001" customHeight="1"/>
    <row r="891" s="4" customFormat="1" ht="17.100000000000001" customHeight="1"/>
    <row r="892" s="4" customFormat="1" ht="17.100000000000001" customHeight="1"/>
    <row r="893" s="4" customFormat="1" ht="17.100000000000001" customHeight="1"/>
    <row r="894" s="4" customFormat="1" ht="17.100000000000001" customHeight="1"/>
    <row r="895" s="4" customFormat="1" ht="17.100000000000001" customHeight="1"/>
    <row r="896" s="4" customFormat="1" ht="17.100000000000001" customHeight="1"/>
    <row r="897" s="4" customFormat="1" ht="17.100000000000001" customHeight="1"/>
    <row r="898" s="4" customFormat="1" ht="17.100000000000001" customHeight="1"/>
    <row r="899" s="4" customFormat="1" ht="17.100000000000001" customHeight="1"/>
    <row r="900" s="4" customFormat="1" ht="17.100000000000001" customHeight="1"/>
    <row r="901" s="4" customFormat="1" ht="17.100000000000001" customHeight="1"/>
    <row r="902" s="4" customFormat="1" ht="17.100000000000001" customHeight="1"/>
    <row r="903" s="4" customFormat="1" ht="17.100000000000001" customHeight="1"/>
    <row r="904" s="4" customFormat="1" ht="17.100000000000001" customHeight="1"/>
    <row r="905" s="4" customFormat="1" ht="17.100000000000001" customHeight="1"/>
    <row r="906" s="4" customFormat="1" ht="17.100000000000001" customHeight="1"/>
    <row r="907" s="4" customFormat="1" ht="17.100000000000001" customHeight="1"/>
    <row r="908" s="4" customFormat="1" ht="17.100000000000001" customHeight="1"/>
    <row r="909" s="4" customFormat="1" ht="17.100000000000001" customHeight="1"/>
    <row r="910" s="4" customFormat="1" ht="17.100000000000001" customHeight="1"/>
    <row r="911" s="4" customFormat="1" ht="17.100000000000001" customHeight="1"/>
    <row r="912" s="4" customFormat="1" ht="17.100000000000001" customHeight="1"/>
    <row r="913" s="4" customFormat="1" ht="17.100000000000001" customHeight="1"/>
    <row r="914" s="4" customFormat="1" ht="17.100000000000001" customHeight="1"/>
    <row r="915" s="4" customFormat="1" ht="17.100000000000001" customHeight="1"/>
    <row r="916" s="4" customFormat="1" ht="17.100000000000001" customHeight="1"/>
    <row r="917" s="4" customFormat="1" ht="17.100000000000001" customHeight="1"/>
    <row r="918" s="4" customFormat="1" ht="17.100000000000001" customHeight="1"/>
    <row r="919" s="4" customFormat="1" ht="17.100000000000001" customHeight="1"/>
    <row r="920" s="4" customFormat="1" ht="17.100000000000001" customHeight="1"/>
    <row r="921" s="4" customFormat="1" ht="17.100000000000001" customHeight="1"/>
    <row r="922" s="4" customFormat="1" ht="17.100000000000001" customHeight="1"/>
    <row r="923" s="4" customFormat="1" ht="17.100000000000001" customHeight="1"/>
    <row r="924" s="4" customFormat="1" ht="17.100000000000001" customHeight="1"/>
    <row r="925" s="4" customFormat="1" ht="17.100000000000001" customHeight="1"/>
    <row r="926" s="4" customFormat="1" ht="17.100000000000001" customHeight="1"/>
    <row r="927" s="4" customFormat="1" ht="17.100000000000001" customHeight="1"/>
    <row r="928" s="4" customFormat="1" ht="17.100000000000001" customHeight="1"/>
    <row r="929" s="4" customFormat="1" ht="17.100000000000001" customHeight="1"/>
    <row r="930" s="4" customFormat="1" ht="17.100000000000001" customHeight="1"/>
    <row r="931" s="4" customFormat="1" ht="17.100000000000001" customHeight="1"/>
    <row r="932" s="4" customFormat="1" ht="17.100000000000001" customHeight="1"/>
    <row r="933" s="4" customFormat="1" ht="17.100000000000001" customHeight="1"/>
    <row r="934" s="4" customFormat="1" ht="17.100000000000001" customHeight="1"/>
    <row r="935" s="4" customFormat="1" ht="17.100000000000001" customHeight="1"/>
    <row r="936" s="4" customFormat="1" ht="17.100000000000001" customHeight="1"/>
    <row r="937" s="4" customFormat="1" ht="17.100000000000001" customHeight="1"/>
    <row r="938" s="4" customFormat="1" ht="17.100000000000001" customHeight="1"/>
    <row r="939" s="4" customFormat="1" ht="17.100000000000001" customHeight="1"/>
    <row r="940" s="4" customFormat="1" ht="17.100000000000001" customHeight="1"/>
    <row r="941" s="4" customFormat="1" ht="17.100000000000001" customHeight="1"/>
    <row r="942" s="4" customFormat="1" ht="17.100000000000001" customHeight="1"/>
    <row r="943" s="4" customFormat="1" ht="17.100000000000001" customHeight="1"/>
    <row r="944" s="4" customFormat="1" ht="17.100000000000001" customHeight="1"/>
    <row r="945" s="4" customFormat="1" ht="17.100000000000001" customHeight="1"/>
    <row r="946" s="4" customFormat="1" ht="17.100000000000001" customHeight="1"/>
    <row r="947" s="4" customFormat="1" ht="17.100000000000001" customHeight="1"/>
    <row r="948" s="4" customFormat="1" ht="17.100000000000001" customHeight="1"/>
    <row r="949" s="4" customFormat="1" ht="17.100000000000001" customHeight="1"/>
    <row r="950" s="4" customFormat="1" ht="17.100000000000001" customHeight="1"/>
    <row r="951" s="4" customFormat="1" ht="17.100000000000001" customHeight="1"/>
    <row r="952" s="4" customFormat="1" ht="17.100000000000001" customHeight="1"/>
    <row r="953" s="4" customFormat="1" ht="17.100000000000001" customHeight="1"/>
    <row r="954" s="4" customFormat="1" ht="17.100000000000001" customHeight="1"/>
    <row r="955" s="4" customFormat="1" ht="17.100000000000001" customHeight="1"/>
    <row r="956" s="4" customFormat="1" ht="17.100000000000001" customHeight="1"/>
    <row r="957" s="4" customFormat="1" ht="17.100000000000001" customHeight="1"/>
    <row r="958" s="4" customFormat="1" ht="17.100000000000001" customHeight="1"/>
    <row r="959" s="4" customFormat="1" ht="17.100000000000001" customHeight="1"/>
    <row r="960" s="4" customFormat="1" ht="17.100000000000001" customHeight="1"/>
    <row r="961" s="4" customFormat="1" ht="17.100000000000001" customHeight="1"/>
    <row r="962" s="4" customFormat="1" ht="17.100000000000001" customHeight="1"/>
    <row r="963" s="4" customFormat="1" ht="17.100000000000001" customHeight="1"/>
    <row r="964" s="4" customFormat="1" ht="17.100000000000001" customHeight="1"/>
    <row r="965" s="4" customFormat="1" ht="17.100000000000001" customHeight="1"/>
    <row r="966" s="4" customFormat="1" ht="17.100000000000001" customHeight="1"/>
    <row r="967" s="4" customFormat="1" ht="17.100000000000001" customHeight="1"/>
    <row r="968" s="4" customFormat="1" ht="17.100000000000001" customHeight="1"/>
    <row r="969" s="4" customFormat="1" ht="17.100000000000001" customHeight="1"/>
    <row r="970" s="4" customFormat="1" ht="17.100000000000001" customHeight="1"/>
    <row r="971" s="4" customFormat="1" ht="17.100000000000001" customHeight="1"/>
    <row r="972" s="4" customFormat="1" ht="17.100000000000001" customHeight="1"/>
    <row r="973" s="4" customFormat="1" ht="17.100000000000001" customHeight="1"/>
    <row r="974" s="4" customFormat="1" ht="17.100000000000001" customHeight="1"/>
    <row r="975" s="4" customFormat="1" ht="17.100000000000001" customHeight="1"/>
    <row r="976" s="4" customFormat="1" ht="17.100000000000001" customHeight="1"/>
    <row r="977" s="4" customFormat="1" ht="17.100000000000001" customHeight="1"/>
    <row r="978" s="4" customFormat="1" ht="17.100000000000001" customHeight="1"/>
    <row r="979" s="4" customFormat="1" ht="17.100000000000001" customHeight="1"/>
    <row r="980" s="4" customFormat="1" ht="17.100000000000001" customHeight="1"/>
    <row r="981" s="4" customFormat="1" ht="17.100000000000001" customHeight="1"/>
    <row r="982" s="4" customFormat="1" ht="17.100000000000001" customHeight="1"/>
    <row r="983" s="4" customFormat="1" ht="17.100000000000001" customHeight="1"/>
    <row r="984" s="4" customFormat="1" ht="17.100000000000001" customHeight="1"/>
    <row r="985" s="4" customFormat="1" ht="17.100000000000001" customHeight="1"/>
    <row r="986" s="4" customFormat="1" ht="17.100000000000001" customHeight="1"/>
    <row r="987" s="4" customFormat="1" ht="17.100000000000001" customHeight="1"/>
    <row r="988" s="4" customFormat="1" ht="17.100000000000001" customHeight="1"/>
    <row r="989" s="4" customFormat="1" ht="17.100000000000001" customHeight="1"/>
    <row r="990" s="4" customFormat="1" ht="17.100000000000001" customHeight="1"/>
    <row r="991" s="4" customFormat="1" ht="17.100000000000001" customHeight="1"/>
    <row r="992" s="4" customFormat="1" ht="17.100000000000001" customHeight="1"/>
    <row r="993" s="4" customFormat="1" ht="17.100000000000001" customHeight="1"/>
    <row r="994" s="4" customFormat="1" ht="17.100000000000001" customHeight="1"/>
    <row r="995" s="4" customFormat="1" ht="17.100000000000001" customHeight="1"/>
    <row r="996" s="4" customFormat="1" ht="17.100000000000001" customHeight="1"/>
    <row r="997" s="4" customFormat="1" ht="17.100000000000001" customHeight="1"/>
    <row r="998" s="4" customFormat="1" ht="17.100000000000001" customHeight="1"/>
    <row r="999" s="4" customFormat="1" ht="17.100000000000001" customHeight="1"/>
    <row r="1000" s="4" customFormat="1" ht="17.100000000000001" customHeight="1"/>
    <row r="1001" s="4" customFormat="1" ht="17.100000000000001" customHeight="1"/>
    <row r="1002" s="4" customFormat="1" ht="17.100000000000001" customHeight="1"/>
    <row r="1003" s="4" customFormat="1" ht="17.100000000000001" customHeight="1"/>
    <row r="1004" s="4" customFormat="1" ht="17.100000000000001" customHeight="1"/>
    <row r="1005" s="4" customFormat="1" ht="17.100000000000001" customHeight="1"/>
    <row r="1006" s="4" customFormat="1" ht="17.100000000000001" customHeight="1"/>
    <row r="1007" s="4" customFormat="1" ht="17.100000000000001" customHeight="1"/>
    <row r="1008" s="4" customFormat="1" ht="17.100000000000001" customHeight="1"/>
    <row r="1009" s="4" customFormat="1" ht="17.100000000000001" customHeight="1"/>
    <row r="1010" s="4" customFormat="1" ht="17.100000000000001" customHeight="1"/>
    <row r="1011" s="4" customFormat="1" ht="17.100000000000001" customHeight="1"/>
    <row r="1012" s="4" customFormat="1" ht="17.100000000000001" customHeight="1"/>
    <row r="1013" s="4" customFormat="1" ht="17.100000000000001" customHeight="1"/>
    <row r="1014" s="4" customFormat="1" ht="17.100000000000001" customHeight="1"/>
    <row r="1015" s="4" customFormat="1" ht="17.100000000000001" customHeight="1"/>
    <row r="1016" s="4" customFormat="1" ht="17.100000000000001" customHeight="1"/>
    <row r="1017" s="4" customFormat="1" ht="17.100000000000001" customHeight="1"/>
    <row r="1018" s="4" customFormat="1" ht="17.100000000000001" customHeight="1"/>
    <row r="1019" s="4" customFormat="1" ht="17.100000000000001" customHeight="1"/>
    <row r="1020" s="4" customFormat="1" ht="17.100000000000001" customHeight="1"/>
    <row r="1021" s="4" customFormat="1" ht="17.100000000000001" customHeight="1"/>
    <row r="1022" s="4" customFormat="1" ht="17.100000000000001" customHeight="1"/>
    <row r="1023" s="4" customFormat="1" ht="17.100000000000001" customHeight="1"/>
    <row r="1024" s="4" customFormat="1" ht="17.100000000000001" customHeight="1"/>
    <row r="1025" s="4" customFormat="1" ht="17.100000000000001" customHeight="1"/>
    <row r="1026" s="4" customFormat="1" ht="17.100000000000001" customHeight="1"/>
    <row r="1027" s="4" customFormat="1" ht="17.100000000000001" customHeight="1"/>
    <row r="1028" s="4" customFormat="1" ht="17.100000000000001" customHeight="1"/>
    <row r="1029" s="4" customFormat="1" ht="17.100000000000001" customHeight="1"/>
    <row r="1030" s="4" customFormat="1" ht="17.100000000000001" customHeight="1"/>
    <row r="1031" s="4" customFormat="1" ht="17.100000000000001" customHeight="1"/>
    <row r="1032" s="4" customFormat="1" ht="17.100000000000001" customHeight="1"/>
    <row r="1033" s="4" customFormat="1" ht="17.100000000000001" customHeight="1"/>
    <row r="1034" s="4" customFormat="1" ht="17.100000000000001" customHeight="1"/>
    <row r="1035" s="4" customFormat="1" ht="17.100000000000001" customHeight="1"/>
    <row r="1036" s="4" customFormat="1" ht="17.100000000000001" customHeight="1"/>
    <row r="1037" s="4" customFormat="1" ht="17.100000000000001" customHeight="1"/>
    <row r="1038" s="4" customFormat="1" ht="17.100000000000001" customHeight="1"/>
    <row r="1039" s="4" customFormat="1" ht="17.100000000000001" customHeight="1"/>
    <row r="1040" s="4" customFormat="1" ht="17.100000000000001" customHeight="1"/>
    <row r="1041" s="4" customFormat="1" ht="17.100000000000001" customHeight="1"/>
    <row r="1042" s="4" customFormat="1" ht="17.100000000000001" customHeight="1"/>
    <row r="1043" s="4" customFormat="1" ht="17.100000000000001" customHeight="1"/>
    <row r="1044" s="4" customFormat="1" ht="17.100000000000001" customHeight="1"/>
    <row r="1045" s="4" customFormat="1" ht="17.100000000000001" customHeight="1"/>
    <row r="1046" s="4" customFormat="1" ht="17.100000000000001" customHeight="1"/>
    <row r="1047" s="4" customFormat="1" ht="17.100000000000001" customHeight="1"/>
    <row r="1048" s="4" customFormat="1" ht="17.100000000000001" customHeight="1"/>
    <row r="1049" s="4" customFormat="1" ht="17.100000000000001" customHeight="1"/>
    <row r="1050" s="4" customFormat="1" ht="17.100000000000001" customHeight="1"/>
    <row r="1051" s="4" customFormat="1" ht="17.100000000000001" customHeight="1"/>
    <row r="1052" s="4" customFormat="1" ht="17.100000000000001" customHeight="1"/>
    <row r="1053" s="4" customFormat="1" ht="17.100000000000001" customHeight="1"/>
    <row r="1054" s="4" customFormat="1" ht="17.100000000000001" customHeight="1"/>
    <row r="1055" s="4" customFormat="1" ht="17.100000000000001" customHeight="1"/>
    <row r="1056" s="4" customFormat="1" ht="17.100000000000001" customHeight="1"/>
    <row r="1057" s="4" customFormat="1" ht="17.100000000000001" customHeight="1"/>
    <row r="1058" s="4" customFormat="1" ht="17.100000000000001" customHeight="1"/>
    <row r="1059" s="4" customFormat="1" ht="17.100000000000001" customHeight="1"/>
    <row r="1060" s="4" customFormat="1" ht="17.100000000000001" customHeight="1"/>
    <row r="1061" s="4" customFormat="1" ht="17.100000000000001" customHeight="1"/>
    <row r="1062" s="4" customFormat="1" ht="17.100000000000001" customHeight="1"/>
    <row r="1063" s="4" customFormat="1" ht="17.100000000000001" customHeight="1"/>
    <row r="1064" s="4" customFormat="1" ht="17.100000000000001" customHeight="1"/>
    <row r="1065" s="4" customFormat="1" ht="17.100000000000001" customHeight="1"/>
    <row r="1066" s="4" customFormat="1" ht="17.100000000000001" customHeight="1"/>
    <row r="1067" s="4" customFormat="1" ht="17.100000000000001" customHeight="1"/>
  </sheetData>
  <sheetProtection formatCells="0" insertHyperlinks="0" autoFilter="0"/>
  <protectedRanges>
    <protectedRange sqref="F7:P23 D7:D23" name="区域1"/>
  </protectedRanges>
  <mergeCells count="9">
    <mergeCell ref="A14:A15"/>
    <mergeCell ref="D4:G4"/>
    <mergeCell ref="E6:G6"/>
    <mergeCell ref="I6:K6"/>
    <mergeCell ref="M6:O6"/>
    <mergeCell ref="A6:A7"/>
    <mergeCell ref="A8:A9"/>
    <mergeCell ref="A10:A11"/>
    <mergeCell ref="A12:A13"/>
  </mergeCells>
  <phoneticPr fontId="29" type="noConversion"/>
  <printOptions horizontalCentered="1" verticalCentered="1"/>
  <pageMargins left="0" right="0" top="0" bottom="0" header="0" footer="0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EB1062"/>
  <sheetViews>
    <sheetView showGridLines="0" showZeros="0" workbookViewId="0">
      <selection activeCell="A3" sqref="A3"/>
    </sheetView>
  </sheetViews>
  <sheetFormatPr defaultColWidth="9" defaultRowHeight="17.100000000000001" customHeight="1"/>
  <cols>
    <col min="1" max="1" width="21.625" style="31" customWidth="1"/>
    <col min="2" max="2" width="4" style="32" customWidth="1"/>
    <col min="3" max="3" width="4" style="33" customWidth="1"/>
    <col min="4" max="4" width="6.25" style="34" customWidth="1"/>
    <col min="5" max="5" width="15.375" style="34" customWidth="1"/>
    <col min="6" max="18" width="10.625" style="34" customWidth="1"/>
    <col min="19" max="19" width="4" style="33" customWidth="1"/>
    <col min="20" max="20" width="4" style="32" customWidth="1"/>
    <col min="21" max="16356" width="9" style="29"/>
    <col min="16357" max="16384" width="9" style="35"/>
  </cols>
  <sheetData>
    <row r="1" spans="1:18" s="29" customFormat="1" ht="15.95" customHeight="1">
      <c r="A1" s="36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s="29" customFormat="1" ht="24" customHeight="1">
      <c r="A2" s="36"/>
      <c r="B2" s="32"/>
      <c r="C2" s="32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18" s="29" customFormat="1" ht="15.95" customHeight="1">
      <c r="A3" s="36"/>
      <c r="B3" s="32"/>
      <c r="C3" s="33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1:18" s="30" customFormat="1" ht="27.75">
      <c r="A4" s="37"/>
      <c r="B4" s="38"/>
      <c r="C4" s="39"/>
      <c r="D4" s="40" t="s">
        <v>13</v>
      </c>
      <c r="E4" s="40"/>
      <c r="F4" s="45">
        <f>'01单据录入'!F1</f>
        <v>2021</v>
      </c>
      <c r="G4" s="46"/>
      <c r="H4" s="232">
        <f>R5</f>
        <v>6344</v>
      </c>
      <c r="I4" s="232"/>
      <c r="J4" s="40"/>
      <c r="K4" s="40"/>
      <c r="L4" s="40"/>
      <c r="M4" s="40"/>
      <c r="N4" s="40"/>
      <c r="O4" s="27"/>
      <c r="P4" s="27"/>
    </row>
    <row r="5" spans="1:18" s="29" customFormat="1" ht="16.5">
      <c r="A5" s="233"/>
      <c r="B5" s="32"/>
      <c r="C5" s="33"/>
      <c r="D5" s="41" t="s">
        <v>14</v>
      </c>
      <c r="E5" s="79" t="s">
        <v>15</v>
      </c>
      <c r="F5" s="47">
        <f t="shared" ref="F5:R5" si="0">SUBTOTAL(9,F7:F1048576)</f>
        <v>1093</v>
      </c>
      <c r="G5" s="47">
        <f t="shared" si="0"/>
        <v>1126</v>
      </c>
      <c r="H5" s="47">
        <f t="shared" si="0"/>
        <v>2126</v>
      </c>
      <c r="I5" s="47">
        <f t="shared" si="0"/>
        <v>1899</v>
      </c>
      <c r="J5" s="47">
        <f t="shared" si="0"/>
        <v>0</v>
      </c>
      <c r="K5" s="47">
        <f t="shared" si="0"/>
        <v>100</v>
      </c>
      <c r="L5" s="47">
        <f t="shared" si="0"/>
        <v>0</v>
      </c>
      <c r="M5" s="50">
        <f t="shared" si="0"/>
        <v>0</v>
      </c>
      <c r="N5" s="47">
        <f t="shared" si="0"/>
        <v>0</v>
      </c>
      <c r="O5" s="41">
        <f t="shared" si="0"/>
        <v>0</v>
      </c>
      <c r="P5" s="47">
        <f t="shared" si="0"/>
        <v>0</v>
      </c>
      <c r="Q5" s="41">
        <f t="shared" si="0"/>
        <v>0</v>
      </c>
      <c r="R5" s="47">
        <f t="shared" si="0"/>
        <v>6344</v>
      </c>
    </row>
    <row r="6" spans="1:18" s="29" customFormat="1" ht="24" customHeight="1">
      <c r="A6" s="233"/>
      <c r="B6" s="32"/>
      <c r="C6" s="33"/>
      <c r="D6" s="42" t="s">
        <v>7</v>
      </c>
      <c r="E6" s="42" t="s">
        <v>16</v>
      </c>
      <c r="F6" s="42" t="s">
        <v>17</v>
      </c>
      <c r="G6" s="42" t="s">
        <v>18</v>
      </c>
      <c r="H6" s="42" t="s">
        <v>19</v>
      </c>
      <c r="I6" s="42" t="s">
        <v>20</v>
      </c>
      <c r="J6" s="42" t="s">
        <v>21</v>
      </c>
      <c r="K6" s="42" t="s">
        <v>22</v>
      </c>
      <c r="L6" s="42" t="s">
        <v>23</v>
      </c>
      <c r="M6" s="42" t="s">
        <v>24</v>
      </c>
      <c r="N6" s="42" t="s">
        <v>25</v>
      </c>
      <c r="O6" s="42" t="s">
        <v>26</v>
      </c>
      <c r="P6" s="42" t="s">
        <v>27</v>
      </c>
      <c r="Q6" s="42" t="s">
        <v>28</v>
      </c>
      <c r="R6" s="42" t="s">
        <v>14</v>
      </c>
    </row>
    <row r="7" spans="1:18" s="29" customFormat="1" ht="16.5" customHeight="1">
      <c r="A7" s="43"/>
      <c r="B7" s="32"/>
      <c r="C7" s="33"/>
      <c r="D7" s="44">
        <v>1</v>
      </c>
      <c r="E7" s="48" t="s">
        <v>10</v>
      </c>
      <c r="F7" s="48">
        <v>316</v>
      </c>
      <c r="G7" s="48">
        <v>531</v>
      </c>
      <c r="H7" s="48">
        <v>527</v>
      </c>
      <c r="I7" s="48">
        <v>911</v>
      </c>
      <c r="J7" s="48"/>
      <c r="K7" s="48">
        <v>100</v>
      </c>
      <c r="L7" s="48"/>
      <c r="M7" s="48"/>
      <c r="N7" s="48"/>
      <c r="O7" s="48"/>
      <c r="P7" s="48"/>
      <c r="Q7" s="48"/>
      <c r="R7" s="51">
        <v>2385</v>
      </c>
    </row>
    <row r="8" spans="1:18" s="29" customFormat="1" ht="16.5" customHeight="1">
      <c r="A8" s="194"/>
      <c r="B8" s="32"/>
      <c r="C8" s="33"/>
      <c r="D8" s="44">
        <v>2</v>
      </c>
      <c r="E8" s="48" t="s">
        <v>11</v>
      </c>
      <c r="F8" s="48">
        <v>777</v>
      </c>
      <c r="G8" s="48">
        <v>595</v>
      </c>
      <c r="H8" s="48">
        <v>1599</v>
      </c>
      <c r="I8" s="48">
        <v>988</v>
      </c>
      <c r="J8" s="48"/>
      <c r="K8" s="48"/>
      <c r="L8" s="48"/>
      <c r="M8" s="48"/>
      <c r="N8" s="48"/>
      <c r="O8" s="48"/>
      <c r="P8" s="48"/>
      <c r="Q8" s="48"/>
      <c r="R8" s="51">
        <v>3959</v>
      </c>
    </row>
    <row r="9" spans="1:18" s="29" customFormat="1" ht="16.5" customHeight="1">
      <c r="A9" s="195"/>
    </row>
    <row r="10" spans="1:18" s="29" customFormat="1" ht="16.5" customHeight="1">
      <c r="A10" s="234"/>
    </row>
    <row r="11" spans="1:18" s="29" customFormat="1" ht="16.5" customHeight="1">
      <c r="A11" s="234"/>
    </row>
    <row r="12" spans="1:18" s="29" customFormat="1" ht="16.5" customHeight="1"/>
    <row r="13" spans="1:18" s="29" customFormat="1" ht="16.5" customHeight="1"/>
    <row r="14" spans="1:18" s="29" customFormat="1" ht="16.5" customHeight="1"/>
    <row r="15" spans="1:18" s="29" customFormat="1" ht="16.5" customHeight="1"/>
    <row r="16" spans="1:18" s="29" customFormat="1" ht="16.5" customHeight="1"/>
    <row r="17" s="29" customFormat="1" ht="16.5" customHeight="1"/>
    <row r="18" s="29" customFormat="1" ht="16.5" customHeight="1"/>
    <row r="19" s="29" customFormat="1" ht="16.5" customHeight="1"/>
    <row r="20" s="29" customFormat="1" ht="16.5" customHeight="1"/>
    <row r="21" s="29" customFormat="1" ht="16.5" customHeight="1"/>
    <row r="22" s="29" customFormat="1" ht="16.5" customHeight="1"/>
    <row r="23" s="29" customFormat="1" ht="16.5" customHeight="1"/>
    <row r="24" s="29" customFormat="1" ht="16.5" customHeight="1"/>
    <row r="25" s="29" customFormat="1" ht="16.5" customHeight="1"/>
    <row r="26" s="29" customFormat="1" ht="16.5" customHeight="1"/>
    <row r="27" s="29" customFormat="1" ht="16.5" customHeight="1"/>
    <row r="28" s="29" customFormat="1" ht="16.5" customHeight="1"/>
    <row r="29" s="29" customFormat="1" ht="16.5" customHeight="1"/>
    <row r="30" s="29" customFormat="1" ht="16.5" customHeight="1"/>
    <row r="31" s="29" customFormat="1" ht="16.5" customHeight="1"/>
    <row r="32" s="29" customFormat="1" ht="16.5" customHeight="1"/>
    <row r="33" s="29" customFormat="1" ht="16.5" customHeight="1"/>
    <row r="34" s="29" customFormat="1" ht="17.100000000000001" customHeight="1"/>
    <row r="35" s="29" customFormat="1" ht="17.100000000000001" customHeight="1"/>
    <row r="36" s="29" customFormat="1" ht="17.100000000000001" customHeight="1"/>
    <row r="37" s="29" customFormat="1" ht="17.100000000000001" customHeight="1"/>
    <row r="38" s="29" customFormat="1" ht="17.100000000000001" customHeight="1"/>
    <row r="39" s="29" customFormat="1" ht="17.100000000000001" customHeight="1"/>
    <row r="40" s="29" customFormat="1" ht="17.100000000000001" customHeight="1"/>
    <row r="41" s="29" customFormat="1" ht="17.100000000000001" customHeight="1"/>
    <row r="42" s="29" customFormat="1" ht="17.100000000000001" customHeight="1"/>
    <row r="43" s="29" customFormat="1" ht="17.100000000000001" customHeight="1"/>
    <row r="44" s="29" customFormat="1" ht="17.100000000000001" customHeight="1"/>
    <row r="45" s="29" customFormat="1" ht="17.100000000000001" customHeight="1"/>
    <row r="46" s="29" customFormat="1" ht="17.100000000000001" customHeight="1"/>
    <row r="47" s="29" customFormat="1" ht="17.100000000000001" customHeight="1"/>
    <row r="48" s="29" customFormat="1" ht="17.100000000000001" customHeight="1"/>
    <row r="49" s="29" customFormat="1" ht="17.100000000000001" customHeight="1"/>
    <row r="50" s="29" customFormat="1" ht="17.100000000000001" customHeight="1"/>
    <row r="51" s="29" customFormat="1" ht="17.100000000000001" customHeight="1"/>
    <row r="52" s="29" customFormat="1" ht="17.100000000000001" customHeight="1"/>
    <row r="53" s="29" customFormat="1" ht="17.100000000000001" customHeight="1"/>
    <row r="54" s="29" customFormat="1" ht="17.100000000000001" customHeight="1"/>
    <row r="55" s="29" customFormat="1" ht="17.100000000000001" customHeight="1"/>
    <row r="56" s="29" customFormat="1" ht="17.100000000000001" customHeight="1"/>
    <row r="57" s="29" customFormat="1" ht="17.100000000000001" customHeight="1"/>
    <row r="58" s="29" customFormat="1" ht="17.100000000000001" customHeight="1"/>
    <row r="59" s="29" customFormat="1" ht="17.100000000000001" customHeight="1"/>
    <row r="60" s="29" customFormat="1" ht="17.100000000000001" customHeight="1"/>
    <row r="61" s="29" customFormat="1" ht="17.100000000000001" customHeight="1"/>
    <row r="62" s="29" customFormat="1" ht="17.100000000000001" customHeight="1"/>
    <row r="63" s="29" customFormat="1" ht="17.100000000000001" customHeight="1"/>
    <row r="64" s="29" customFormat="1" ht="17.100000000000001" customHeight="1"/>
    <row r="65" s="29" customFormat="1" ht="17.100000000000001" customHeight="1"/>
    <row r="66" s="29" customFormat="1" ht="17.100000000000001" customHeight="1"/>
    <row r="67" s="29" customFormat="1" ht="17.100000000000001" customHeight="1"/>
    <row r="68" s="29" customFormat="1" ht="17.100000000000001" customHeight="1"/>
    <row r="69" s="29" customFormat="1" ht="17.100000000000001" customHeight="1"/>
    <row r="70" s="29" customFormat="1" ht="17.100000000000001" customHeight="1"/>
    <row r="71" s="29" customFormat="1" ht="17.100000000000001" customHeight="1"/>
    <row r="72" s="29" customFormat="1" ht="17.100000000000001" customHeight="1"/>
    <row r="73" s="29" customFormat="1" ht="17.100000000000001" customHeight="1"/>
    <row r="74" s="29" customFormat="1" ht="17.100000000000001" customHeight="1"/>
    <row r="75" s="29" customFormat="1" ht="17.100000000000001" customHeight="1"/>
    <row r="76" s="29" customFormat="1" ht="17.100000000000001" customHeight="1"/>
    <row r="77" s="29" customFormat="1" ht="17.100000000000001" customHeight="1"/>
    <row r="78" s="29" customFormat="1" ht="17.100000000000001" customHeight="1"/>
    <row r="79" s="29" customFormat="1" ht="17.100000000000001" customHeight="1"/>
    <row r="80" s="29" customFormat="1" ht="17.100000000000001" customHeight="1"/>
    <row r="81" s="29" customFormat="1" ht="17.100000000000001" customHeight="1"/>
    <row r="82" s="29" customFormat="1" ht="17.100000000000001" customHeight="1"/>
    <row r="83" s="29" customFormat="1" ht="17.100000000000001" customHeight="1"/>
    <row r="84" s="29" customFormat="1" ht="17.100000000000001" customHeight="1"/>
    <row r="85" s="29" customFormat="1" ht="17.100000000000001" customHeight="1"/>
    <row r="86" s="29" customFormat="1" ht="17.100000000000001" customHeight="1"/>
    <row r="87" s="29" customFormat="1" ht="17.100000000000001" customHeight="1"/>
    <row r="88" s="29" customFormat="1" ht="17.100000000000001" customHeight="1"/>
    <row r="89" s="29" customFormat="1" ht="17.100000000000001" customHeight="1"/>
    <row r="90" s="29" customFormat="1" ht="17.100000000000001" customHeight="1"/>
    <row r="91" s="29" customFormat="1" ht="17.100000000000001" customHeight="1"/>
    <row r="92" s="29" customFormat="1" ht="17.100000000000001" customHeight="1"/>
    <row r="93" s="29" customFormat="1" ht="17.100000000000001" customHeight="1"/>
    <row r="94" s="29" customFormat="1" ht="17.100000000000001" customHeight="1"/>
    <row r="95" s="29" customFormat="1" ht="17.100000000000001" customHeight="1"/>
    <row r="96" s="29" customFormat="1" ht="17.100000000000001" customHeight="1"/>
    <row r="97" s="29" customFormat="1" ht="17.100000000000001" customHeight="1"/>
    <row r="98" s="29" customFormat="1" ht="17.100000000000001" customHeight="1"/>
    <row r="99" s="29" customFormat="1" ht="17.100000000000001" customHeight="1"/>
    <row r="100" s="29" customFormat="1" ht="17.100000000000001" customHeight="1"/>
    <row r="101" s="29" customFormat="1" ht="17.100000000000001" customHeight="1"/>
    <row r="102" s="29" customFormat="1" ht="17.100000000000001" customHeight="1"/>
    <row r="103" s="29" customFormat="1" ht="17.100000000000001" customHeight="1"/>
    <row r="104" s="29" customFormat="1" ht="17.100000000000001" customHeight="1"/>
    <row r="105" s="29" customFormat="1" ht="17.100000000000001" customHeight="1"/>
    <row r="106" s="29" customFormat="1" ht="17.100000000000001" customHeight="1"/>
    <row r="107" s="29" customFormat="1" ht="17.100000000000001" customHeight="1"/>
    <row r="108" s="29" customFormat="1" ht="17.100000000000001" customHeight="1"/>
    <row r="109" s="29" customFormat="1" ht="17.100000000000001" customHeight="1"/>
    <row r="110" s="29" customFormat="1" ht="17.100000000000001" customHeight="1"/>
    <row r="111" s="29" customFormat="1" ht="17.100000000000001" customHeight="1"/>
    <row r="112" s="29" customFormat="1" ht="17.100000000000001" customHeight="1"/>
    <row r="113" s="29" customFormat="1" ht="17.100000000000001" customHeight="1"/>
    <row r="114" s="29" customFormat="1" ht="17.100000000000001" customHeight="1"/>
    <row r="115" s="29" customFormat="1" ht="17.100000000000001" customHeight="1"/>
    <row r="116" s="29" customFormat="1" ht="17.100000000000001" customHeight="1"/>
    <row r="117" s="29" customFormat="1" ht="17.100000000000001" customHeight="1"/>
    <row r="118" s="29" customFormat="1" ht="17.100000000000001" customHeight="1"/>
    <row r="119" s="29" customFormat="1" ht="17.100000000000001" customHeight="1"/>
    <row r="120" s="29" customFormat="1" ht="17.100000000000001" customHeight="1"/>
    <row r="121" s="29" customFormat="1" ht="17.100000000000001" customHeight="1"/>
    <row r="122" s="29" customFormat="1" ht="17.100000000000001" customHeight="1"/>
    <row r="123" s="29" customFormat="1" ht="17.100000000000001" customHeight="1"/>
    <row r="124" s="29" customFormat="1" ht="17.100000000000001" customHeight="1"/>
    <row r="125" s="29" customFormat="1" ht="17.100000000000001" customHeight="1"/>
    <row r="126" s="29" customFormat="1" ht="17.100000000000001" customHeight="1"/>
    <row r="127" s="29" customFormat="1" ht="17.100000000000001" customHeight="1"/>
    <row r="128" s="29" customFormat="1" ht="17.100000000000001" customHeight="1"/>
    <row r="129" s="29" customFormat="1" ht="17.100000000000001" customHeight="1"/>
    <row r="130" s="29" customFormat="1" ht="17.100000000000001" customHeight="1"/>
    <row r="131" s="29" customFormat="1" ht="17.100000000000001" customHeight="1"/>
    <row r="132" s="29" customFormat="1" ht="17.100000000000001" customHeight="1"/>
    <row r="133" s="29" customFormat="1" ht="17.100000000000001" customHeight="1"/>
    <row r="134" s="29" customFormat="1" ht="17.100000000000001" customHeight="1"/>
    <row r="135" s="29" customFormat="1" ht="17.100000000000001" customHeight="1"/>
    <row r="136" s="29" customFormat="1" ht="17.100000000000001" customHeight="1"/>
    <row r="137" s="29" customFormat="1" ht="17.100000000000001" customHeight="1"/>
    <row r="138" s="29" customFormat="1" ht="17.100000000000001" customHeight="1"/>
    <row r="139" s="29" customFormat="1" ht="17.100000000000001" customHeight="1"/>
    <row r="140" s="29" customFormat="1" ht="17.100000000000001" customHeight="1"/>
    <row r="141" s="29" customFormat="1" ht="17.100000000000001" customHeight="1"/>
    <row r="142" s="29" customFormat="1" ht="17.100000000000001" customHeight="1"/>
    <row r="143" s="29" customFormat="1" ht="17.100000000000001" customHeight="1"/>
    <row r="144" s="29" customFormat="1" ht="17.100000000000001" customHeight="1"/>
    <row r="145" s="29" customFormat="1" ht="17.100000000000001" customHeight="1"/>
    <row r="146" s="29" customFormat="1" ht="17.100000000000001" customHeight="1"/>
    <row r="147" s="29" customFormat="1" ht="17.100000000000001" customHeight="1"/>
    <row r="148" s="29" customFormat="1" ht="17.100000000000001" customHeight="1"/>
    <row r="149" s="29" customFormat="1" ht="17.100000000000001" customHeight="1"/>
    <row r="150" s="29" customFormat="1" ht="17.100000000000001" customHeight="1"/>
    <row r="151" s="29" customFormat="1" ht="17.100000000000001" customHeight="1"/>
    <row r="152" s="29" customFormat="1" ht="17.100000000000001" customHeight="1"/>
    <row r="153" s="29" customFormat="1" ht="17.100000000000001" customHeight="1"/>
    <row r="154" s="29" customFormat="1" ht="17.100000000000001" customHeight="1"/>
    <row r="155" s="29" customFormat="1" ht="17.100000000000001" customHeight="1"/>
    <row r="156" s="29" customFormat="1" ht="17.100000000000001" customHeight="1"/>
    <row r="157" s="29" customFormat="1" ht="17.100000000000001" customHeight="1"/>
    <row r="158" s="29" customFormat="1" ht="17.100000000000001" customHeight="1"/>
    <row r="159" s="29" customFormat="1" ht="17.100000000000001" customHeight="1"/>
    <row r="160" s="29" customFormat="1" ht="17.100000000000001" customHeight="1"/>
    <row r="161" s="29" customFormat="1" ht="17.100000000000001" customHeight="1"/>
    <row r="162" s="29" customFormat="1" ht="17.100000000000001" customHeight="1"/>
    <row r="163" s="29" customFormat="1" ht="17.100000000000001" customHeight="1"/>
    <row r="164" s="29" customFormat="1" ht="17.100000000000001" customHeight="1"/>
    <row r="165" s="29" customFormat="1" ht="17.100000000000001" customHeight="1"/>
    <row r="166" s="29" customFormat="1" ht="17.100000000000001" customHeight="1"/>
    <row r="167" s="29" customFormat="1" ht="17.100000000000001" customHeight="1"/>
    <row r="168" s="29" customFormat="1" ht="17.100000000000001" customHeight="1"/>
    <row r="169" s="29" customFormat="1" ht="17.100000000000001" customHeight="1"/>
    <row r="170" s="29" customFormat="1" ht="17.100000000000001" customHeight="1"/>
    <row r="171" s="29" customFormat="1" ht="17.100000000000001" customHeight="1"/>
    <row r="172" s="29" customFormat="1" ht="17.100000000000001" customHeight="1"/>
    <row r="173" s="29" customFormat="1" ht="17.100000000000001" customHeight="1"/>
    <row r="174" s="29" customFormat="1" ht="17.100000000000001" customHeight="1"/>
    <row r="175" s="29" customFormat="1" ht="17.100000000000001" customHeight="1"/>
    <row r="176" s="29" customFormat="1" ht="17.100000000000001" customHeight="1"/>
    <row r="177" s="29" customFormat="1" ht="17.100000000000001" customHeight="1"/>
    <row r="178" s="29" customFormat="1" ht="17.100000000000001" customHeight="1"/>
    <row r="179" s="29" customFormat="1" ht="17.100000000000001" customHeight="1"/>
    <row r="180" s="29" customFormat="1" ht="17.100000000000001" customHeight="1"/>
    <row r="181" s="29" customFormat="1" ht="17.100000000000001" customHeight="1"/>
    <row r="182" s="29" customFormat="1" ht="17.100000000000001" customHeight="1"/>
    <row r="183" s="29" customFormat="1" ht="17.100000000000001" customHeight="1"/>
    <row r="184" s="29" customFormat="1" ht="17.100000000000001" customHeight="1"/>
    <row r="185" s="29" customFormat="1" ht="17.100000000000001" customHeight="1"/>
    <row r="186" s="29" customFormat="1" ht="17.100000000000001" customHeight="1"/>
    <row r="187" s="29" customFormat="1" ht="17.100000000000001" customHeight="1"/>
    <row r="188" s="29" customFormat="1" ht="17.100000000000001" customHeight="1"/>
    <row r="189" s="29" customFormat="1" ht="17.100000000000001" customHeight="1"/>
    <row r="190" s="29" customFormat="1" ht="17.100000000000001" customHeight="1"/>
    <row r="191" s="29" customFormat="1" ht="17.100000000000001" customHeight="1"/>
    <row r="192" s="29" customFormat="1" ht="17.100000000000001" customHeight="1"/>
    <row r="193" s="29" customFormat="1" ht="17.100000000000001" customHeight="1"/>
    <row r="194" s="29" customFormat="1" ht="17.100000000000001" customHeight="1"/>
    <row r="195" s="29" customFormat="1" ht="17.100000000000001" customHeight="1"/>
    <row r="196" s="29" customFormat="1" ht="17.100000000000001" customHeight="1"/>
    <row r="197" s="29" customFormat="1" ht="17.100000000000001" customHeight="1"/>
    <row r="198" s="29" customFormat="1" ht="17.100000000000001" customHeight="1"/>
    <row r="199" s="29" customFormat="1" ht="17.100000000000001" customHeight="1"/>
    <row r="200" s="29" customFormat="1" ht="17.100000000000001" customHeight="1"/>
    <row r="201" s="29" customFormat="1" ht="17.100000000000001" customHeight="1"/>
    <row r="202" s="29" customFormat="1" ht="17.100000000000001" customHeight="1"/>
    <row r="203" s="29" customFormat="1" ht="17.100000000000001" customHeight="1"/>
    <row r="204" s="29" customFormat="1" ht="17.100000000000001" customHeight="1"/>
    <row r="205" s="29" customFormat="1" ht="17.100000000000001" customHeight="1"/>
    <row r="206" s="29" customFormat="1" ht="17.100000000000001" customHeight="1"/>
    <row r="207" s="29" customFormat="1" ht="17.100000000000001" customHeight="1"/>
    <row r="208" s="29" customFormat="1" ht="17.100000000000001" customHeight="1"/>
    <row r="209" s="29" customFormat="1" ht="17.100000000000001" customHeight="1"/>
    <row r="210" s="29" customFormat="1" ht="17.100000000000001" customHeight="1"/>
    <row r="211" s="29" customFormat="1" ht="17.100000000000001" customHeight="1"/>
    <row r="212" s="29" customFormat="1" ht="17.100000000000001" customHeight="1"/>
    <row r="213" s="29" customFormat="1" ht="17.100000000000001" customHeight="1"/>
    <row r="214" s="29" customFormat="1" ht="17.100000000000001" customHeight="1"/>
    <row r="215" s="29" customFormat="1" ht="17.100000000000001" customHeight="1"/>
    <row r="216" s="29" customFormat="1" ht="17.100000000000001" customHeight="1"/>
    <row r="217" s="29" customFormat="1" ht="17.100000000000001" customHeight="1"/>
    <row r="218" s="29" customFormat="1" ht="17.100000000000001" customHeight="1"/>
    <row r="219" s="29" customFormat="1" ht="17.100000000000001" customHeight="1"/>
    <row r="220" s="29" customFormat="1" ht="17.100000000000001" customHeight="1"/>
    <row r="221" s="29" customFormat="1" ht="17.100000000000001" customHeight="1"/>
    <row r="222" s="29" customFormat="1" ht="17.100000000000001" customHeight="1"/>
    <row r="223" s="29" customFormat="1" ht="17.100000000000001" customHeight="1"/>
    <row r="224" s="29" customFormat="1" ht="17.100000000000001" customHeight="1"/>
    <row r="225" s="29" customFormat="1" ht="17.100000000000001" customHeight="1"/>
    <row r="226" s="29" customFormat="1" ht="17.100000000000001" customHeight="1"/>
    <row r="227" s="29" customFormat="1" ht="17.100000000000001" customHeight="1"/>
    <row r="228" s="29" customFormat="1" ht="17.100000000000001" customHeight="1"/>
    <row r="229" s="29" customFormat="1" ht="17.100000000000001" customHeight="1"/>
    <row r="230" s="29" customFormat="1" ht="17.100000000000001" customHeight="1"/>
    <row r="231" s="29" customFormat="1" ht="17.100000000000001" customHeight="1"/>
    <row r="232" s="29" customFormat="1" ht="17.100000000000001" customHeight="1"/>
    <row r="233" s="29" customFormat="1" ht="17.100000000000001" customHeight="1"/>
    <row r="234" s="29" customFormat="1" ht="17.100000000000001" customHeight="1"/>
    <row r="235" s="29" customFormat="1" ht="17.100000000000001" customHeight="1"/>
    <row r="236" s="29" customFormat="1" ht="17.100000000000001" customHeight="1"/>
    <row r="237" s="29" customFormat="1" ht="17.100000000000001" customHeight="1"/>
    <row r="238" s="29" customFormat="1" ht="17.100000000000001" customHeight="1"/>
    <row r="239" s="29" customFormat="1" ht="17.100000000000001" customHeight="1"/>
    <row r="240" s="29" customFormat="1" ht="17.100000000000001" customHeight="1"/>
    <row r="241" s="29" customFormat="1" ht="17.100000000000001" customHeight="1"/>
    <row r="242" s="29" customFormat="1" ht="17.100000000000001" customHeight="1"/>
    <row r="243" s="29" customFormat="1" ht="17.100000000000001" customHeight="1"/>
    <row r="244" s="29" customFormat="1" ht="17.100000000000001" customHeight="1"/>
    <row r="245" s="29" customFormat="1" ht="17.100000000000001" customHeight="1"/>
    <row r="246" s="29" customFormat="1" ht="17.100000000000001" customHeight="1"/>
    <row r="247" s="29" customFormat="1" ht="17.100000000000001" customHeight="1"/>
    <row r="248" s="29" customFormat="1" ht="17.100000000000001" customHeight="1"/>
    <row r="249" s="29" customFormat="1" ht="17.100000000000001" customHeight="1"/>
    <row r="250" s="29" customFormat="1" ht="17.100000000000001" customHeight="1"/>
    <row r="251" s="29" customFormat="1" ht="17.100000000000001" customHeight="1"/>
    <row r="252" s="29" customFormat="1" ht="17.100000000000001" customHeight="1"/>
    <row r="253" s="29" customFormat="1" ht="17.100000000000001" customHeight="1"/>
    <row r="254" s="29" customFormat="1" ht="17.100000000000001" customHeight="1"/>
    <row r="255" s="29" customFormat="1" ht="17.100000000000001" customHeight="1"/>
    <row r="256" s="29" customFormat="1" ht="17.100000000000001" customHeight="1"/>
    <row r="257" s="29" customFormat="1" ht="17.100000000000001" customHeight="1"/>
    <row r="258" s="29" customFormat="1" ht="17.100000000000001" customHeight="1"/>
    <row r="259" s="29" customFormat="1" ht="17.100000000000001" customHeight="1"/>
    <row r="260" s="29" customFormat="1" ht="17.100000000000001" customHeight="1"/>
    <row r="261" s="29" customFormat="1" ht="17.100000000000001" customHeight="1"/>
    <row r="262" s="29" customFormat="1" ht="17.100000000000001" customHeight="1"/>
    <row r="263" s="29" customFormat="1" ht="17.100000000000001" customHeight="1"/>
    <row r="264" s="29" customFormat="1" ht="17.100000000000001" customHeight="1"/>
    <row r="265" s="29" customFormat="1" ht="17.100000000000001" customHeight="1"/>
    <row r="266" s="29" customFormat="1" ht="17.100000000000001" customHeight="1"/>
    <row r="267" s="29" customFormat="1" ht="17.100000000000001" customHeight="1"/>
    <row r="268" s="29" customFormat="1" ht="17.100000000000001" customHeight="1"/>
    <row r="269" s="29" customFormat="1" ht="17.100000000000001" customHeight="1"/>
    <row r="270" s="29" customFormat="1" ht="17.100000000000001" customHeight="1"/>
    <row r="271" s="29" customFormat="1" ht="17.100000000000001" customHeight="1"/>
    <row r="272" s="29" customFormat="1" ht="17.100000000000001" customHeight="1"/>
    <row r="273" s="29" customFormat="1" ht="17.100000000000001" customHeight="1"/>
    <row r="274" s="29" customFormat="1" ht="17.100000000000001" customHeight="1"/>
    <row r="275" s="29" customFormat="1" ht="17.100000000000001" customHeight="1"/>
    <row r="276" s="29" customFormat="1" ht="17.100000000000001" customHeight="1"/>
    <row r="277" s="29" customFormat="1" ht="17.100000000000001" customHeight="1"/>
    <row r="278" s="29" customFormat="1" ht="17.100000000000001" customHeight="1"/>
    <row r="279" s="29" customFormat="1" ht="17.100000000000001" customHeight="1"/>
    <row r="280" s="29" customFormat="1" ht="17.100000000000001" customHeight="1"/>
    <row r="281" s="29" customFormat="1" ht="17.100000000000001" customHeight="1"/>
    <row r="282" s="29" customFormat="1" ht="17.100000000000001" customHeight="1"/>
    <row r="283" s="29" customFormat="1" ht="17.100000000000001" customHeight="1"/>
    <row r="284" s="29" customFormat="1" ht="17.100000000000001" customHeight="1"/>
    <row r="285" s="29" customFormat="1" ht="17.100000000000001" customHeight="1"/>
    <row r="286" s="29" customFormat="1" ht="17.100000000000001" customHeight="1"/>
    <row r="287" s="29" customFormat="1" ht="17.100000000000001" customHeight="1"/>
    <row r="288" s="29" customFormat="1" ht="17.100000000000001" customHeight="1"/>
    <row r="289" s="29" customFormat="1" ht="17.100000000000001" customHeight="1"/>
    <row r="290" s="29" customFormat="1" ht="17.100000000000001" customHeight="1"/>
    <row r="291" s="29" customFormat="1" ht="17.100000000000001" customHeight="1"/>
    <row r="292" s="29" customFormat="1" ht="17.100000000000001" customHeight="1"/>
    <row r="293" s="29" customFormat="1" ht="17.100000000000001" customHeight="1"/>
    <row r="294" s="29" customFormat="1" ht="17.100000000000001" customHeight="1"/>
    <row r="295" s="29" customFormat="1" ht="17.100000000000001" customHeight="1"/>
    <row r="296" s="29" customFormat="1" ht="17.100000000000001" customHeight="1"/>
    <row r="297" s="29" customFormat="1" ht="17.100000000000001" customHeight="1"/>
    <row r="298" s="29" customFormat="1" ht="17.100000000000001" customHeight="1"/>
    <row r="299" s="29" customFormat="1" ht="17.100000000000001" customHeight="1"/>
    <row r="300" s="29" customFormat="1" ht="17.100000000000001" customHeight="1"/>
    <row r="301" s="29" customFormat="1" ht="17.100000000000001" customHeight="1"/>
    <row r="302" s="29" customFormat="1" ht="17.100000000000001" customHeight="1"/>
    <row r="303" s="29" customFormat="1" ht="17.100000000000001" customHeight="1"/>
    <row r="304" s="29" customFormat="1" ht="17.100000000000001" customHeight="1"/>
    <row r="305" s="29" customFormat="1" ht="17.100000000000001" customHeight="1"/>
    <row r="306" s="29" customFormat="1" ht="17.100000000000001" customHeight="1"/>
    <row r="307" s="29" customFormat="1" ht="17.100000000000001" customHeight="1"/>
    <row r="308" s="29" customFormat="1" ht="17.100000000000001" customHeight="1"/>
    <row r="309" s="29" customFormat="1" ht="17.100000000000001" customHeight="1"/>
    <row r="310" s="29" customFormat="1" ht="17.100000000000001" customHeight="1"/>
    <row r="311" s="29" customFormat="1" ht="17.100000000000001" customHeight="1"/>
    <row r="312" s="29" customFormat="1" ht="17.100000000000001" customHeight="1"/>
    <row r="313" s="29" customFormat="1" ht="17.100000000000001" customHeight="1"/>
    <row r="314" s="29" customFormat="1" ht="17.100000000000001" customHeight="1"/>
    <row r="315" s="29" customFormat="1" ht="17.100000000000001" customHeight="1"/>
    <row r="316" s="29" customFormat="1" ht="17.100000000000001" customHeight="1"/>
    <row r="317" s="29" customFormat="1" ht="17.100000000000001" customHeight="1"/>
    <row r="318" s="29" customFormat="1" ht="17.100000000000001" customHeight="1"/>
    <row r="319" s="29" customFormat="1" ht="17.100000000000001" customHeight="1"/>
    <row r="320" s="29" customFormat="1" ht="17.100000000000001" customHeight="1"/>
    <row r="321" s="29" customFormat="1" ht="17.100000000000001" customHeight="1"/>
    <row r="322" s="29" customFormat="1" ht="17.100000000000001" customHeight="1"/>
    <row r="323" s="29" customFormat="1" ht="17.100000000000001" customHeight="1"/>
    <row r="324" s="29" customFormat="1" ht="17.100000000000001" customHeight="1"/>
    <row r="325" s="29" customFormat="1" ht="17.100000000000001" customHeight="1"/>
    <row r="326" s="29" customFormat="1" ht="17.100000000000001" customHeight="1"/>
    <row r="327" s="29" customFormat="1" ht="17.100000000000001" customHeight="1"/>
    <row r="328" s="29" customFormat="1" ht="17.100000000000001" customHeight="1"/>
    <row r="329" s="29" customFormat="1" ht="17.100000000000001" customHeight="1"/>
    <row r="330" s="29" customFormat="1" ht="17.100000000000001" customHeight="1"/>
    <row r="331" s="29" customFormat="1" ht="17.100000000000001" customHeight="1"/>
    <row r="332" s="29" customFormat="1" ht="17.100000000000001" customHeight="1"/>
    <row r="333" s="29" customFormat="1" ht="17.100000000000001" customHeight="1"/>
    <row r="334" s="29" customFormat="1" ht="17.100000000000001" customHeight="1"/>
    <row r="335" s="29" customFormat="1" ht="17.100000000000001" customHeight="1"/>
    <row r="336" s="29" customFormat="1" ht="17.100000000000001" customHeight="1"/>
    <row r="337" s="29" customFormat="1" ht="17.100000000000001" customHeight="1"/>
    <row r="338" s="29" customFormat="1" ht="17.100000000000001" customHeight="1"/>
    <row r="339" s="29" customFormat="1" ht="17.100000000000001" customHeight="1"/>
    <row r="340" s="29" customFormat="1" ht="17.100000000000001" customHeight="1"/>
    <row r="341" s="29" customFormat="1" ht="17.100000000000001" customHeight="1"/>
    <row r="342" s="29" customFormat="1" ht="17.100000000000001" customHeight="1"/>
    <row r="343" s="29" customFormat="1" ht="17.100000000000001" customHeight="1"/>
    <row r="344" s="29" customFormat="1" ht="17.100000000000001" customHeight="1"/>
    <row r="345" s="29" customFormat="1" ht="17.100000000000001" customHeight="1"/>
    <row r="346" s="29" customFormat="1" ht="17.100000000000001" customHeight="1"/>
    <row r="347" s="29" customFormat="1" ht="17.100000000000001" customHeight="1"/>
    <row r="348" s="29" customFormat="1" ht="17.100000000000001" customHeight="1"/>
    <row r="349" s="29" customFormat="1" ht="17.100000000000001" customHeight="1"/>
    <row r="350" s="29" customFormat="1" ht="17.100000000000001" customHeight="1"/>
    <row r="351" s="29" customFormat="1" ht="17.100000000000001" customHeight="1"/>
    <row r="352" s="29" customFormat="1" ht="17.100000000000001" customHeight="1"/>
    <row r="353" s="29" customFormat="1" ht="17.100000000000001" customHeight="1"/>
    <row r="354" s="29" customFormat="1" ht="17.100000000000001" customHeight="1"/>
    <row r="355" s="29" customFormat="1" ht="17.100000000000001" customHeight="1"/>
    <row r="356" s="29" customFormat="1" ht="17.100000000000001" customHeight="1"/>
    <row r="357" s="29" customFormat="1" ht="17.100000000000001" customHeight="1"/>
    <row r="358" s="29" customFormat="1" ht="17.100000000000001" customHeight="1"/>
    <row r="359" s="29" customFormat="1" ht="17.100000000000001" customHeight="1"/>
    <row r="360" s="29" customFormat="1" ht="17.100000000000001" customHeight="1"/>
    <row r="361" s="29" customFormat="1" ht="17.100000000000001" customHeight="1"/>
    <row r="362" s="29" customFormat="1" ht="17.100000000000001" customHeight="1"/>
    <row r="363" s="29" customFormat="1" ht="17.100000000000001" customHeight="1"/>
    <row r="364" s="29" customFormat="1" ht="17.100000000000001" customHeight="1"/>
    <row r="365" s="29" customFormat="1" ht="17.100000000000001" customHeight="1"/>
    <row r="366" s="29" customFormat="1" ht="17.100000000000001" customHeight="1"/>
    <row r="367" s="29" customFormat="1" ht="17.100000000000001" customHeight="1"/>
    <row r="368" s="29" customFormat="1" ht="17.100000000000001" customHeight="1"/>
    <row r="369" s="29" customFormat="1" ht="17.100000000000001" customHeight="1"/>
    <row r="370" s="29" customFormat="1" ht="17.100000000000001" customHeight="1"/>
    <row r="371" s="29" customFormat="1" ht="17.100000000000001" customHeight="1"/>
    <row r="372" s="29" customFormat="1" ht="17.100000000000001" customHeight="1"/>
    <row r="373" s="29" customFormat="1" ht="17.100000000000001" customHeight="1"/>
    <row r="374" s="29" customFormat="1" ht="17.100000000000001" customHeight="1"/>
    <row r="375" s="29" customFormat="1" ht="17.100000000000001" customHeight="1"/>
    <row r="376" s="29" customFormat="1" ht="17.100000000000001" customHeight="1"/>
    <row r="377" s="29" customFormat="1" ht="17.100000000000001" customHeight="1"/>
    <row r="378" s="29" customFormat="1" ht="17.100000000000001" customHeight="1"/>
    <row r="379" s="29" customFormat="1" ht="17.100000000000001" customHeight="1"/>
    <row r="380" s="29" customFormat="1" ht="17.100000000000001" customHeight="1"/>
    <row r="381" s="29" customFormat="1" ht="17.100000000000001" customHeight="1"/>
    <row r="382" s="29" customFormat="1" ht="17.100000000000001" customHeight="1"/>
    <row r="383" s="29" customFormat="1" ht="17.100000000000001" customHeight="1"/>
    <row r="384" s="29" customFormat="1" ht="17.100000000000001" customHeight="1"/>
    <row r="385" s="29" customFormat="1" ht="17.100000000000001" customHeight="1"/>
    <row r="386" s="29" customFormat="1" ht="17.100000000000001" customHeight="1"/>
    <row r="387" s="29" customFormat="1" ht="17.100000000000001" customHeight="1"/>
    <row r="388" s="29" customFormat="1" ht="17.100000000000001" customHeight="1"/>
    <row r="389" s="29" customFormat="1" ht="17.100000000000001" customHeight="1"/>
    <row r="390" s="29" customFormat="1" ht="17.100000000000001" customHeight="1"/>
    <row r="391" s="29" customFormat="1" ht="17.100000000000001" customHeight="1"/>
    <row r="392" s="29" customFormat="1" ht="17.100000000000001" customHeight="1"/>
    <row r="393" s="29" customFormat="1" ht="17.100000000000001" customHeight="1"/>
    <row r="394" s="29" customFormat="1" ht="17.100000000000001" customHeight="1"/>
    <row r="395" s="29" customFormat="1" ht="17.100000000000001" customHeight="1"/>
    <row r="396" s="29" customFormat="1" ht="17.100000000000001" customHeight="1"/>
    <row r="397" s="29" customFormat="1" ht="17.100000000000001" customHeight="1"/>
    <row r="398" s="29" customFormat="1" ht="17.100000000000001" customHeight="1"/>
    <row r="399" s="29" customFormat="1" ht="17.100000000000001" customHeight="1"/>
    <row r="400" s="29" customFormat="1" ht="17.100000000000001" customHeight="1"/>
    <row r="401" s="29" customFormat="1" ht="17.100000000000001" customHeight="1"/>
    <row r="402" s="29" customFormat="1" ht="17.100000000000001" customHeight="1"/>
    <row r="403" s="29" customFormat="1" ht="17.100000000000001" customHeight="1"/>
    <row r="404" s="29" customFormat="1" ht="17.100000000000001" customHeight="1"/>
    <row r="405" s="29" customFormat="1" ht="17.100000000000001" customHeight="1"/>
    <row r="406" s="29" customFormat="1" ht="17.100000000000001" customHeight="1"/>
    <row r="407" s="29" customFormat="1" ht="17.100000000000001" customHeight="1"/>
    <row r="408" s="29" customFormat="1" ht="17.100000000000001" customHeight="1"/>
    <row r="409" s="29" customFormat="1" ht="17.100000000000001" customHeight="1"/>
    <row r="410" s="29" customFormat="1" ht="17.100000000000001" customHeight="1"/>
    <row r="411" s="29" customFormat="1" ht="17.100000000000001" customHeight="1"/>
    <row r="412" s="29" customFormat="1" ht="17.100000000000001" customHeight="1"/>
    <row r="413" s="29" customFormat="1" ht="17.100000000000001" customHeight="1"/>
    <row r="414" s="29" customFormat="1" ht="17.100000000000001" customHeight="1"/>
    <row r="415" s="29" customFormat="1" ht="17.100000000000001" customHeight="1"/>
    <row r="416" s="29" customFormat="1" ht="17.100000000000001" customHeight="1"/>
    <row r="417" s="29" customFormat="1" ht="17.100000000000001" customHeight="1"/>
    <row r="418" s="29" customFormat="1" ht="17.100000000000001" customHeight="1"/>
    <row r="419" s="29" customFormat="1" ht="17.100000000000001" customHeight="1"/>
    <row r="420" s="29" customFormat="1" ht="17.100000000000001" customHeight="1"/>
    <row r="421" s="29" customFormat="1" ht="17.100000000000001" customHeight="1"/>
    <row r="422" s="29" customFormat="1" ht="17.100000000000001" customHeight="1"/>
    <row r="423" s="29" customFormat="1" ht="17.100000000000001" customHeight="1"/>
    <row r="424" s="29" customFormat="1" ht="17.100000000000001" customHeight="1"/>
    <row r="425" s="29" customFormat="1" ht="17.100000000000001" customHeight="1"/>
    <row r="426" s="29" customFormat="1" ht="17.100000000000001" customHeight="1"/>
    <row r="427" s="29" customFormat="1" ht="17.100000000000001" customHeight="1"/>
    <row r="428" s="29" customFormat="1" ht="17.100000000000001" customHeight="1"/>
    <row r="429" s="29" customFormat="1" ht="17.100000000000001" customHeight="1"/>
    <row r="430" s="29" customFormat="1" ht="17.100000000000001" customHeight="1"/>
    <row r="431" s="29" customFormat="1" ht="17.100000000000001" customHeight="1"/>
    <row r="432" s="29" customFormat="1" ht="17.100000000000001" customHeight="1"/>
    <row r="433" s="29" customFormat="1" ht="17.100000000000001" customHeight="1"/>
    <row r="434" s="29" customFormat="1" ht="17.100000000000001" customHeight="1"/>
    <row r="435" s="29" customFormat="1" ht="17.100000000000001" customHeight="1"/>
    <row r="436" s="29" customFormat="1" ht="17.100000000000001" customHeight="1"/>
    <row r="437" s="29" customFormat="1" ht="17.100000000000001" customHeight="1"/>
    <row r="438" s="29" customFormat="1" ht="17.100000000000001" customHeight="1"/>
    <row r="439" s="29" customFormat="1" ht="17.100000000000001" customHeight="1"/>
    <row r="440" s="29" customFormat="1" ht="17.100000000000001" customHeight="1"/>
    <row r="441" s="29" customFormat="1" ht="17.100000000000001" customHeight="1"/>
    <row r="442" s="29" customFormat="1" ht="17.100000000000001" customHeight="1"/>
    <row r="443" s="29" customFormat="1" ht="17.100000000000001" customHeight="1"/>
    <row r="444" s="29" customFormat="1" ht="17.100000000000001" customHeight="1"/>
    <row r="445" s="29" customFormat="1" ht="17.100000000000001" customHeight="1"/>
    <row r="446" s="29" customFormat="1" ht="17.100000000000001" customHeight="1"/>
    <row r="447" s="29" customFormat="1" ht="17.100000000000001" customHeight="1"/>
    <row r="448" s="29" customFormat="1" ht="17.100000000000001" customHeight="1"/>
    <row r="449" s="29" customFormat="1" ht="17.100000000000001" customHeight="1"/>
    <row r="450" s="29" customFormat="1" ht="17.100000000000001" customHeight="1"/>
    <row r="451" s="29" customFormat="1" ht="17.100000000000001" customHeight="1"/>
    <row r="452" s="29" customFormat="1" ht="17.100000000000001" customHeight="1"/>
    <row r="453" s="29" customFormat="1" ht="17.100000000000001" customHeight="1"/>
    <row r="454" s="29" customFormat="1" ht="17.100000000000001" customHeight="1"/>
    <row r="455" s="29" customFormat="1" ht="17.100000000000001" customHeight="1"/>
    <row r="456" s="29" customFormat="1" ht="17.100000000000001" customHeight="1"/>
    <row r="457" s="29" customFormat="1" ht="17.100000000000001" customHeight="1"/>
    <row r="458" s="29" customFormat="1" ht="17.100000000000001" customHeight="1"/>
    <row r="459" s="29" customFormat="1" ht="17.100000000000001" customHeight="1"/>
    <row r="460" s="29" customFormat="1" ht="17.100000000000001" customHeight="1"/>
    <row r="461" s="29" customFormat="1" ht="17.100000000000001" customHeight="1"/>
    <row r="462" s="29" customFormat="1" ht="17.100000000000001" customHeight="1"/>
    <row r="463" s="29" customFormat="1" ht="17.100000000000001" customHeight="1"/>
    <row r="464" s="29" customFormat="1" ht="17.100000000000001" customHeight="1"/>
    <row r="465" s="29" customFormat="1" ht="17.100000000000001" customHeight="1"/>
    <row r="466" s="29" customFormat="1" ht="17.100000000000001" customHeight="1"/>
    <row r="467" s="29" customFormat="1" ht="17.100000000000001" customHeight="1"/>
    <row r="468" s="29" customFormat="1" ht="17.100000000000001" customHeight="1"/>
    <row r="469" s="29" customFormat="1" ht="17.100000000000001" customHeight="1"/>
    <row r="470" s="29" customFormat="1" ht="17.100000000000001" customHeight="1"/>
    <row r="471" s="29" customFormat="1" ht="17.100000000000001" customHeight="1"/>
    <row r="472" s="29" customFormat="1" ht="17.100000000000001" customHeight="1"/>
    <row r="473" s="29" customFormat="1" ht="17.100000000000001" customHeight="1"/>
    <row r="474" s="29" customFormat="1" ht="17.100000000000001" customHeight="1"/>
    <row r="475" s="29" customFormat="1" ht="17.100000000000001" customHeight="1"/>
    <row r="476" s="29" customFormat="1" ht="17.100000000000001" customHeight="1"/>
    <row r="477" s="29" customFormat="1" ht="17.100000000000001" customHeight="1"/>
    <row r="478" s="29" customFormat="1" ht="17.100000000000001" customHeight="1"/>
    <row r="479" s="29" customFormat="1" ht="17.100000000000001" customHeight="1"/>
    <row r="480" s="29" customFormat="1" ht="17.100000000000001" customHeight="1"/>
    <row r="481" s="29" customFormat="1" ht="17.100000000000001" customHeight="1"/>
    <row r="482" s="29" customFormat="1" ht="17.100000000000001" customHeight="1"/>
    <row r="483" s="29" customFormat="1" ht="17.100000000000001" customHeight="1"/>
    <row r="484" s="29" customFormat="1" ht="17.100000000000001" customHeight="1"/>
    <row r="485" s="29" customFormat="1" ht="17.100000000000001" customHeight="1"/>
    <row r="486" s="29" customFormat="1" ht="17.100000000000001" customHeight="1"/>
    <row r="487" s="29" customFormat="1" ht="17.100000000000001" customHeight="1"/>
    <row r="488" s="29" customFormat="1" ht="17.100000000000001" customHeight="1"/>
    <row r="489" s="29" customFormat="1" ht="17.100000000000001" customHeight="1"/>
    <row r="490" s="29" customFormat="1" ht="17.100000000000001" customHeight="1"/>
    <row r="491" s="29" customFormat="1" ht="17.100000000000001" customHeight="1"/>
    <row r="492" s="29" customFormat="1" ht="17.100000000000001" customHeight="1"/>
    <row r="493" s="29" customFormat="1" ht="17.100000000000001" customHeight="1"/>
    <row r="494" s="29" customFormat="1" ht="17.100000000000001" customHeight="1"/>
    <row r="495" s="29" customFormat="1" ht="17.100000000000001" customHeight="1"/>
    <row r="496" s="29" customFormat="1" ht="17.100000000000001" customHeight="1"/>
    <row r="497" s="29" customFormat="1" ht="17.100000000000001" customHeight="1"/>
    <row r="498" s="29" customFormat="1" ht="17.100000000000001" customHeight="1"/>
    <row r="499" s="29" customFormat="1" ht="17.100000000000001" customHeight="1"/>
    <row r="500" s="29" customFormat="1" ht="17.100000000000001" customHeight="1"/>
    <row r="501" s="29" customFormat="1" ht="17.100000000000001" customHeight="1"/>
    <row r="502" s="29" customFormat="1" ht="17.100000000000001" customHeight="1"/>
    <row r="503" s="29" customFormat="1" ht="17.100000000000001" customHeight="1"/>
    <row r="504" s="29" customFormat="1" ht="17.100000000000001" customHeight="1"/>
    <row r="505" s="29" customFormat="1" ht="17.100000000000001" customHeight="1"/>
    <row r="506" s="29" customFormat="1" ht="17.100000000000001" customHeight="1"/>
    <row r="507" s="29" customFormat="1" ht="17.100000000000001" customHeight="1"/>
    <row r="508" s="29" customFormat="1" ht="17.100000000000001" customHeight="1"/>
    <row r="509" s="29" customFormat="1" ht="17.100000000000001" customHeight="1"/>
    <row r="510" s="29" customFormat="1" ht="17.100000000000001" customHeight="1"/>
    <row r="511" s="29" customFormat="1" ht="17.100000000000001" customHeight="1"/>
    <row r="512" s="29" customFormat="1" ht="17.100000000000001" customHeight="1"/>
    <row r="513" s="29" customFormat="1" ht="17.100000000000001" customHeight="1"/>
    <row r="514" s="29" customFormat="1" ht="17.100000000000001" customHeight="1"/>
    <row r="515" s="29" customFormat="1" ht="17.100000000000001" customHeight="1"/>
    <row r="516" s="29" customFormat="1" ht="17.100000000000001" customHeight="1"/>
    <row r="517" s="29" customFormat="1" ht="17.100000000000001" customHeight="1"/>
    <row r="518" s="29" customFormat="1" ht="17.100000000000001" customHeight="1"/>
    <row r="519" s="29" customFormat="1" ht="17.100000000000001" customHeight="1"/>
    <row r="520" s="29" customFormat="1" ht="17.100000000000001" customHeight="1"/>
    <row r="521" s="29" customFormat="1" ht="17.100000000000001" customHeight="1"/>
    <row r="522" s="29" customFormat="1" ht="17.100000000000001" customHeight="1"/>
    <row r="523" s="29" customFormat="1" ht="17.100000000000001" customHeight="1"/>
    <row r="524" s="29" customFormat="1" ht="17.100000000000001" customHeight="1"/>
    <row r="525" s="29" customFormat="1" ht="17.100000000000001" customHeight="1"/>
    <row r="526" s="29" customFormat="1" ht="17.100000000000001" customHeight="1"/>
    <row r="527" s="29" customFormat="1" ht="17.100000000000001" customHeight="1"/>
    <row r="528" s="29" customFormat="1" ht="17.100000000000001" customHeight="1"/>
    <row r="529" s="29" customFormat="1" ht="17.100000000000001" customHeight="1"/>
    <row r="530" s="29" customFormat="1" ht="17.100000000000001" customHeight="1"/>
    <row r="531" s="29" customFormat="1" ht="17.100000000000001" customHeight="1"/>
    <row r="532" s="29" customFormat="1" ht="17.100000000000001" customHeight="1"/>
    <row r="533" s="29" customFormat="1" ht="17.100000000000001" customHeight="1"/>
    <row r="534" s="29" customFormat="1" ht="17.100000000000001" customHeight="1"/>
    <row r="535" s="29" customFormat="1" ht="17.100000000000001" customHeight="1"/>
    <row r="536" s="29" customFormat="1" ht="17.100000000000001" customHeight="1"/>
    <row r="537" s="29" customFormat="1" ht="17.100000000000001" customHeight="1"/>
    <row r="538" s="29" customFormat="1" ht="17.100000000000001" customHeight="1"/>
    <row r="539" s="29" customFormat="1" ht="17.100000000000001" customHeight="1"/>
    <row r="540" s="29" customFormat="1" ht="17.100000000000001" customHeight="1"/>
    <row r="541" s="29" customFormat="1" ht="17.100000000000001" customHeight="1"/>
    <row r="542" s="29" customFormat="1" ht="17.100000000000001" customHeight="1"/>
    <row r="543" s="29" customFormat="1" ht="17.100000000000001" customHeight="1"/>
    <row r="544" s="29" customFormat="1" ht="17.100000000000001" customHeight="1"/>
    <row r="545" s="29" customFormat="1" ht="17.100000000000001" customHeight="1"/>
    <row r="546" s="29" customFormat="1" ht="17.100000000000001" customHeight="1"/>
    <row r="547" s="29" customFormat="1" ht="17.100000000000001" customHeight="1"/>
    <row r="548" s="29" customFormat="1" ht="17.100000000000001" customHeight="1"/>
    <row r="549" s="29" customFormat="1" ht="17.100000000000001" customHeight="1"/>
    <row r="550" s="29" customFormat="1" ht="17.100000000000001" customHeight="1"/>
    <row r="551" s="29" customFormat="1" ht="17.100000000000001" customHeight="1"/>
    <row r="552" s="29" customFormat="1" ht="17.100000000000001" customHeight="1"/>
    <row r="553" s="29" customFormat="1" ht="17.100000000000001" customHeight="1"/>
    <row r="554" s="29" customFormat="1" ht="17.100000000000001" customHeight="1"/>
    <row r="555" s="29" customFormat="1" ht="17.100000000000001" customHeight="1"/>
    <row r="556" s="29" customFormat="1" ht="17.100000000000001" customHeight="1"/>
    <row r="557" s="29" customFormat="1" ht="17.100000000000001" customHeight="1"/>
    <row r="558" s="29" customFormat="1" ht="17.100000000000001" customHeight="1"/>
    <row r="559" s="29" customFormat="1" ht="17.100000000000001" customHeight="1"/>
    <row r="560" s="29" customFormat="1" ht="17.100000000000001" customHeight="1"/>
    <row r="561" s="29" customFormat="1" ht="17.100000000000001" customHeight="1"/>
    <row r="562" s="29" customFormat="1" ht="17.100000000000001" customHeight="1"/>
    <row r="563" s="29" customFormat="1" ht="17.100000000000001" customHeight="1"/>
    <row r="564" s="29" customFormat="1" ht="17.100000000000001" customHeight="1"/>
    <row r="565" s="29" customFormat="1" ht="17.100000000000001" customHeight="1"/>
    <row r="566" s="29" customFormat="1" ht="17.100000000000001" customHeight="1"/>
    <row r="567" s="29" customFormat="1" ht="17.100000000000001" customHeight="1"/>
    <row r="568" s="29" customFormat="1" ht="17.100000000000001" customHeight="1"/>
    <row r="569" s="29" customFormat="1" ht="17.100000000000001" customHeight="1"/>
    <row r="570" s="29" customFormat="1" ht="17.100000000000001" customHeight="1"/>
    <row r="571" s="29" customFormat="1" ht="17.100000000000001" customHeight="1"/>
    <row r="572" s="29" customFormat="1" ht="17.100000000000001" customHeight="1"/>
    <row r="573" s="29" customFormat="1" ht="17.100000000000001" customHeight="1"/>
    <row r="574" s="29" customFormat="1" ht="17.100000000000001" customHeight="1"/>
    <row r="575" s="29" customFormat="1" ht="17.100000000000001" customHeight="1"/>
    <row r="576" s="29" customFormat="1" ht="17.100000000000001" customHeight="1"/>
    <row r="577" s="29" customFormat="1" ht="17.100000000000001" customHeight="1"/>
    <row r="578" s="29" customFormat="1" ht="17.100000000000001" customHeight="1"/>
    <row r="579" s="29" customFormat="1" ht="17.100000000000001" customHeight="1"/>
    <row r="580" s="29" customFormat="1" ht="17.100000000000001" customHeight="1"/>
    <row r="581" s="29" customFormat="1" ht="17.100000000000001" customHeight="1"/>
    <row r="582" s="29" customFormat="1" ht="17.100000000000001" customHeight="1"/>
    <row r="583" s="29" customFormat="1" ht="17.100000000000001" customHeight="1"/>
    <row r="584" s="29" customFormat="1" ht="17.100000000000001" customHeight="1"/>
    <row r="585" s="29" customFormat="1" ht="17.100000000000001" customHeight="1"/>
    <row r="586" s="29" customFormat="1" ht="17.100000000000001" customHeight="1"/>
    <row r="587" s="29" customFormat="1" ht="17.100000000000001" customHeight="1"/>
    <row r="588" s="29" customFormat="1" ht="17.100000000000001" customHeight="1"/>
    <row r="589" s="29" customFormat="1" ht="17.100000000000001" customHeight="1"/>
    <row r="590" s="29" customFormat="1" ht="17.100000000000001" customHeight="1"/>
    <row r="591" s="29" customFormat="1" ht="17.100000000000001" customHeight="1"/>
    <row r="592" s="29" customFormat="1" ht="17.100000000000001" customHeight="1"/>
    <row r="593" s="29" customFormat="1" ht="17.100000000000001" customHeight="1"/>
    <row r="594" s="29" customFormat="1" ht="17.100000000000001" customHeight="1"/>
    <row r="595" s="29" customFormat="1" ht="17.100000000000001" customHeight="1"/>
    <row r="596" s="29" customFormat="1" ht="17.100000000000001" customHeight="1"/>
    <row r="597" s="29" customFormat="1" ht="17.100000000000001" customHeight="1"/>
    <row r="598" s="29" customFormat="1" ht="17.100000000000001" customHeight="1"/>
    <row r="599" s="29" customFormat="1" ht="17.100000000000001" customHeight="1"/>
    <row r="600" s="29" customFormat="1" ht="17.100000000000001" customHeight="1"/>
    <row r="601" s="29" customFormat="1" ht="17.100000000000001" customHeight="1"/>
    <row r="602" s="29" customFormat="1" ht="17.100000000000001" customHeight="1"/>
    <row r="603" s="29" customFormat="1" ht="17.100000000000001" customHeight="1"/>
    <row r="604" s="29" customFormat="1" ht="17.100000000000001" customHeight="1"/>
    <row r="605" s="29" customFormat="1" ht="17.100000000000001" customHeight="1"/>
    <row r="606" s="29" customFormat="1" ht="17.100000000000001" customHeight="1"/>
    <row r="607" s="29" customFormat="1" ht="17.100000000000001" customHeight="1"/>
    <row r="608" s="29" customFormat="1" ht="17.100000000000001" customHeight="1"/>
    <row r="609" s="29" customFormat="1" ht="17.100000000000001" customHeight="1"/>
    <row r="610" s="29" customFormat="1" ht="17.100000000000001" customHeight="1"/>
    <row r="611" s="29" customFormat="1" ht="17.100000000000001" customHeight="1"/>
    <row r="612" s="29" customFormat="1" ht="17.100000000000001" customHeight="1"/>
    <row r="613" s="29" customFormat="1" ht="17.100000000000001" customHeight="1"/>
    <row r="614" s="29" customFormat="1" ht="17.100000000000001" customHeight="1"/>
    <row r="615" s="29" customFormat="1" ht="17.100000000000001" customHeight="1"/>
    <row r="616" s="29" customFormat="1" ht="17.100000000000001" customHeight="1"/>
    <row r="617" s="29" customFormat="1" ht="17.100000000000001" customHeight="1"/>
    <row r="618" s="29" customFormat="1" ht="17.100000000000001" customHeight="1"/>
    <row r="619" s="29" customFormat="1" ht="17.100000000000001" customHeight="1"/>
    <row r="620" s="29" customFormat="1" ht="17.100000000000001" customHeight="1"/>
    <row r="621" s="29" customFormat="1" ht="17.100000000000001" customHeight="1"/>
    <row r="622" s="29" customFormat="1" ht="17.100000000000001" customHeight="1"/>
    <row r="623" s="29" customFormat="1" ht="17.100000000000001" customHeight="1"/>
    <row r="624" s="29" customFormat="1" ht="17.100000000000001" customHeight="1"/>
    <row r="625" s="29" customFormat="1" ht="17.100000000000001" customHeight="1"/>
    <row r="626" s="29" customFormat="1" ht="17.100000000000001" customHeight="1"/>
    <row r="627" s="29" customFormat="1" ht="17.100000000000001" customHeight="1"/>
    <row r="628" s="29" customFormat="1" ht="17.100000000000001" customHeight="1"/>
    <row r="629" s="29" customFormat="1" ht="17.100000000000001" customHeight="1"/>
    <row r="630" s="29" customFormat="1" ht="17.100000000000001" customHeight="1"/>
    <row r="631" s="29" customFormat="1" ht="17.100000000000001" customHeight="1"/>
    <row r="632" s="29" customFormat="1" ht="17.100000000000001" customHeight="1"/>
    <row r="633" s="29" customFormat="1" ht="17.100000000000001" customHeight="1"/>
    <row r="634" s="29" customFormat="1" ht="17.100000000000001" customHeight="1"/>
    <row r="635" s="29" customFormat="1" ht="17.100000000000001" customHeight="1"/>
    <row r="636" s="29" customFormat="1" ht="17.100000000000001" customHeight="1"/>
    <row r="637" s="29" customFormat="1" ht="17.100000000000001" customHeight="1"/>
    <row r="638" s="29" customFormat="1" ht="17.100000000000001" customHeight="1"/>
    <row r="639" s="29" customFormat="1" ht="17.100000000000001" customHeight="1"/>
    <row r="640" s="29" customFormat="1" ht="17.100000000000001" customHeight="1"/>
    <row r="641" s="29" customFormat="1" ht="17.100000000000001" customHeight="1"/>
    <row r="642" s="29" customFormat="1" ht="17.100000000000001" customHeight="1"/>
    <row r="643" s="29" customFormat="1" ht="17.100000000000001" customHeight="1"/>
    <row r="644" s="29" customFormat="1" ht="17.100000000000001" customHeight="1"/>
    <row r="645" s="29" customFormat="1" ht="17.100000000000001" customHeight="1"/>
    <row r="646" s="29" customFormat="1" ht="17.100000000000001" customHeight="1"/>
    <row r="647" s="29" customFormat="1" ht="17.100000000000001" customHeight="1"/>
    <row r="648" s="29" customFormat="1" ht="17.100000000000001" customHeight="1"/>
    <row r="649" s="29" customFormat="1" ht="17.100000000000001" customHeight="1"/>
    <row r="650" s="29" customFormat="1" ht="17.100000000000001" customHeight="1"/>
    <row r="651" s="29" customFormat="1" ht="17.100000000000001" customHeight="1"/>
    <row r="652" s="29" customFormat="1" ht="17.100000000000001" customHeight="1"/>
    <row r="653" s="29" customFormat="1" ht="17.100000000000001" customHeight="1"/>
    <row r="654" s="29" customFormat="1" ht="17.100000000000001" customHeight="1"/>
    <row r="655" s="29" customFormat="1" ht="17.100000000000001" customHeight="1"/>
    <row r="656" s="29" customFormat="1" ht="17.100000000000001" customHeight="1"/>
    <row r="657" s="29" customFormat="1" ht="17.100000000000001" customHeight="1"/>
    <row r="658" s="29" customFormat="1" ht="17.100000000000001" customHeight="1"/>
    <row r="659" s="29" customFormat="1" ht="17.100000000000001" customHeight="1"/>
    <row r="660" s="29" customFormat="1" ht="17.100000000000001" customHeight="1"/>
    <row r="661" s="29" customFormat="1" ht="17.100000000000001" customHeight="1"/>
    <row r="662" s="29" customFormat="1" ht="17.100000000000001" customHeight="1"/>
    <row r="663" s="29" customFormat="1" ht="17.100000000000001" customHeight="1"/>
    <row r="664" s="29" customFormat="1" ht="17.100000000000001" customHeight="1"/>
    <row r="665" s="29" customFormat="1" ht="17.100000000000001" customHeight="1"/>
    <row r="666" s="29" customFormat="1" ht="17.100000000000001" customHeight="1"/>
    <row r="667" s="29" customFormat="1" ht="17.100000000000001" customHeight="1"/>
    <row r="668" s="29" customFormat="1" ht="17.100000000000001" customHeight="1"/>
    <row r="669" s="29" customFormat="1" ht="17.100000000000001" customHeight="1"/>
    <row r="670" s="29" customFormat="1" ht="17.100000000000001" customHeight="1"/>
    <row r="671" s="29" customFormat="1" ht="17.100000000000001" customHeight="1"/>
    <row r="672" s="29" customFormat="1" ht="17.100000000000001" customHeight="1"/>
    <row r="673" s="29" customFormat="1" ht="17.100000000000001" customHeight="1"/>
    <row r="674" s="29" customFormat="1" ht="17.100000000000001" customHeight="1"/>
    <row r="675" s="29" customFormat="1" ht="17.100000000000001" customHeight="1"/>
    <row r="676" s="29" customFormat="1" ht="17.100000000000001" customHeight="1"/>
    <row r="677" s="29" customFormat="1" ht="17.100000000000001" customHeight="1"/>
    <row r="678" s="29" customFormat="1" ht="17.100000000000001" customHeight="1"/>
    <row r="679" s="29" customFormat="1" ht="17.100000000000001" customHeight="1"/>
    <row r="680" s="29" customFormat="1" ht="17.100000000000001" customHeight="1"/>
    <row r="681" s="29" customFormat="1" ht="17.100000000000001" customHeight="1"/>
    <row r="682" s="29" customFormat="1" ht="17.100000000000001" customHeight="1"/>
    <row r="683" s="29" customFormat="1" ht="17.100000000000001" customHeight="1"/>
    <row r="684" s="29" customFormat="1" ht="17.100000000000001" customHeight="1"/>
    <row r="685" s="29" customFormat="1" ht="17.100000000000001" customHeight="1"/>
    <row r="686" s="29" customFormat="1" ht="17.100000000000001" customHeight="1"/>
    <row r="687" s="29" customFormat="1" ht="17.100000000000001" customHeight="1"/>
    <row r="688" s="29" customFormat="1" ht="17.100000000000001" customHeight="1"/>
    <row r="689" s="29" customFormat="1" ht="17.100000000000001" customHeight="1"/>
    <row r="690" s="29" customFormat="1" ht="17.100000000000001" customHeight="1"/>
    <row r="691" s="29" customFormat="1" ht="17.100000000000001" customHeight="1"/>
    <row r="692" s="29" customFormat="1" ht="17.100000000000001" customHeight="1"/>
    <row r="693" s="29" customFormat="1" ht="17.100000000000001" customHeight="1"/>
    <row r="694" s="29" customFormat="1" ht="17.100000000000001" customHeight="1"/>
    <row r="695" s="29" customFormat="1" ht="17.100000000000001" customHeight="1"/>
    <row r="696" s="29" customFormat="1" ht="17.100000000000001" customHeight="1"/>
    <row r="697" s="29" customFormat="1" ht="17.100000000000001" customHeight="1"/>
    <row r="698" s="29" customFormat="1" ht="17.100000000000001" customHeight="1"/>
    <row r="699" s="29" customFormat="1" ht="17.100000000000001" customHeight="1"/>
    <row r="700" s="29" customFormat="1" ht="17.100000000000001" customHeight="1"/>
    <row r="701" s="29" customFormat="1" ht="17.100000000000001" customHeight="1"/>
    <row r="702" s="29" customFormat="1" ht="17.100000000000001" customHeight="1"/>
    <row r="703" s="29" customFormat="1" ht="17.100000000000001" customHeight="1"/>
    <row r="704" s="29" customFormat="1" ht="17.100000000000001" customHeight="1"/>
    <row r="705" s="29" customFormat="1" ht="17.100000000000001" customHeight="1"/>
    <row r="706" s="29" customFormat="1" ht="17.100000000000001" customHeight="1"/>
    <row r="707" s="29" customFormat="1" ht="17.100000000000001" customHeight="1"/>
    <row r="708" s="29" customFormat="1" ht="17.100000000000001" customHeight="1"/>
    <row r="709" s="29" customFormat="1" ht="17.100000000000001" customHeight="1"/>
    <row r="710" s="29" customFormat="1" ht="17.100000000000001" customHeight="1"/>
    <row r="711" s="29" customFormat="1" ht="17.100000000000001" customHeight="1"/>
    <row r="712" s="29" customFormat="1" ht="17.100000000000001" customHeight="1"/>
    <row r="713" s="29" customFormat="1" ht="17.100000000000001" customHeight="1"/>
    <row r="714" s="29" customFormat="1" ht="17.100000000000001" customHeight="1"/>
    <row r="715" s="29" customFormat="1" ht="17.100000000000001" customHeight="1"/>
    <row r="716" s="29" customFormat="1" ht="17.100000000000001" customHeight="1"/>
    <row r="717" s="29" customFormat="1" ht="17.100000000000001" customHeight="1"/>
    <row r="718" s="29" customFormat="1" ht="17.100000000000001" customHeight="1"/>
    <row r="719" s="29" customFormat="1" ht="17.100000000000001" customHeight="1"/>
    <row r="720" s="29" customFormat="1" ht="17.100000000000001" customHeight="1"/>
    <row r="721" s="29" customFormat="1" ht="17.100000000000001" customHeight="1"/>
    <row r="722" s="29" customFormat="1" ht="17.100000000000001" customHeight="1"/>
    <row r="723" s="29" customFormat="1" ht="17.100000000000001" customHeight="1"/>
    <row r="724" s="29" customFormat="1" ht="17.100000000000001" customHeight="1"/>
    <row r="725" s="29" customFormat="1" ht="17.100000000000001" customHeight="1"/>
    <row r="726" s="29" customFormat="1" ht="17.100000000000001" customHeight="1"/>
    <row r="727" s="29" customFormat="1" ht="17.100000000000001" customHeight="1"/>
    <row r="728" s="29" customFormat="1" ht="17.100000000000001" customHeight="1"/>
    <row r="729" s="29" customFormat="1" ht="17.100000000000001" customHeight="1"/>
    <row r="730" s="29" customFormat="1" ht="17.100000000000001" customHeight="1"/>
    <row r="731" s="29" customFormat="1" ht="17.100000000000001" customHeight="1"/>
    <row r="732" s="29" customFormat="1" ht="17.100000000000001" customHeight="1"/>
    <row r="733" s="29" customFormat="1" ht="17.100000000000001" customHeight="1"/>
    <row r="734" s="29" customFormat="1" ht="17.100000000000001" customHeight="1"/>
    <row r="735" s="29" customFormat="1" ht="17.100000000000001" customHeight="1"/>
    <row r="736" s="29" customFormat="1" ht="17.100000000000001" customHeight="1"/>
    <row r="737" s="29" customFormat="1" ht="17.100000000000001" customHeight="1"/>
    <row r="738" s="29" customFormat="1" ht="17.100000000000001" customHeight="1"/>
    <row r="739" s="29" customFormat="1" ht="17.100000000000001" customHeight="1"/>
    <row r="740" s="29" customFormat="1" ht="17.100000000000001" customHeight="1"/>
    <row r="741" s="29" customFormat="1" ht="17.100000000000001" customHeight="1"/>
    <row r="742" s="29" customFormat="1" ht="17.100000000000001" customHeight="1"/>
    <row r="743" s="29" customFormat="1" ht="17.100000000000001" customHeight="1"/>
    <row r="744" s="29" customFormat="1" ht="17.100000000000001" customHeight="1"/>
    <row r="745" s="29" customFormat="1" ht="17.100000000000001" customHeight="1"/>
    <row r="746" s="29" customFormat="1" ht="17.100000000000001" customHeight="1"/>
    <row r="747" s="29" customFormat="1" ht="17.100000000000001" customHeight="1"/>
    <row r="748" s="29" customFormat="1" ht="17.100000000000001" customHeight="1"/>
    <row r="749" s="29" customFormat="1" ht="17.100000000000001" customHeight="1"/>
    <row r="750" s="29" customFormat="1" ht="17.100000000000001" customHeight="1"/>
    <row r="751" s="29" customFormat="1" ht="17.100000000000001" customHeight="1"/>
    <row r="752" s="29" customFormat="1" ht="17.100000000000001" customHeight="1"/>
    <row r="753" s="29" customFormat="1" ht="17.100000000000001" customHeight="1"/>
    <row r="754" s="29" customFormat="1" ht="17.100000000000001" customHeight="1"/>
    <row r="755" s="29" customFormat="1" ht="17.100000000000001" customHeight="1"/>
    <row r="756" s="29" customFormat="1" ht="17.100000000000001" customHeight="1"/>
    <row r="757" s="29" customFormat="1" ht="17.100000000000001" customHeight="1"/>
    <row r="758" s="29" customFormat="1" ht="17.100000000000001" customHeight="1"/>
    <row r="759" s="29" customFormat="1" ht="17.100000000000001" customHeight="1"/>
    <row r="760" s="29" customFormat="1" ht="17.100000000000001" customHeight="1"/>
    <row r="761" s="29" customFormat="1" ht="17.100000000000001" customHeight="1"/>
    <row r="762" s="29" customFormat="1" ht="17.100000000000001" customHeight="1"/>
    <row r="763" s="29" customFormat="1" ht="17.100000000000001" customHeight="1"/>
    <row r="764" s="29" customFormat="1" ht="17.100000000000001" customHeight="1"/>
    <row r="765" s="29" customFormat="1" ht="17.100000000000001" customHeight="1"/>
    <row r="766" s="29" customFormat="1" ht="17.100000000000001" customHeight="1"/>
    <row r="767" s="29" customFormat="1" ht="17.100000000000001" customHeight="1"/>
    <row r="768" s="29" customFormat="1" ht="17.100000000000001" customHeight="1"/>
    <row r="769" s="29" customFormat="1" ht="17.100000000000001" customHeight="1"/>
    <row r="770" s="29" customFormat="1" ht="17.100000000000001" customHeight="1"/>
    <row r="771" s="29" customFormat="1" ht="17.100000000000001" customHeight="1"/>
    <row r="772" s="29" customFormat="1" ht="17.100000000000001" customHeight="1"/>
    <row r="773" s="29" customFormat="1" ht="17.100000000000001" customHeight="1"/>
    <row r="774" s="29" customFormat="1" ht="17.100000000000001" customHeight="1"/>
    <row r="775" s="29" customFormat="1" ht="17.100000000000001" customHeight="1"/>
    <row r="776" s="29" customFormat="1" ht="17.100000000000001" customHeight="1"/>
    <row r="777" s="29" customFormat="1" ht="17.100000000000001" customHeight="1"/>
    <row r="778" s="29" customFormat="1" ht="17.100000000000001" customHeight="1"/>
    <row r="779" s="29" customFormat="1" ht="17.100000000000001" customHeight="1"/>
    <row r="780" s="29" customFormat="1" ht="17.100000000000001" customHeight="1"/>
    <row r="781" s="29" customFormat="1" ht="17.100000000000001" customHeight="1"/>
    <row r="782" s="29" customFormat="1" ht="17.100000000000001" customHeight="1"/>
    <row r="783" s="29" customFormat="1" ht="17.100000000000001" customHeight="1"/>
    <row r="784" s="29" customFormat="1" ht="17.100000000000001" customHeight="1"/>
    <row r="785" s="29" customFormat="1" ht="17.100000000000001" customHeight="1"/>
    <row r="786" s="29" customFormat="1" ht="17.100000000000001" customHeight="1"/>
    <row r="787" s="29" customFormat="1" ht="17.100000000000001" customHeight="1"/>
    <row r="788" s="29" customFormat="1" ht="17.100000000000001" customHeight="1"/>
    <row r="789" s="29" customFormat="1" ht="17.100000000000001" customHeight="1"/>
    <row r="790" s="29" customFormat="1" ht="17.100000000000001" customHeight="1"/>
    <row r="791" s="29" customFormat="1" ht="17.100000000000001" customHeight="1"/>
    <row r="792" s="29" customFormat="1" ht="17.100000000000001" customHeight="1"/>
    <row r="793" s="29" customFormat="1" ht="17.100000000000001" customHeight="1"/>
    <row r="794" s="29" customFormat="1" ht="17.100000000000001" customHeight="1"/>
    <row r="795" s="29" customFormat="1" ht="17.100000000000001" customHeight="1"/>
    <row r="796" s="29" customFormat="1" ht="17.100000000000001" customHeight="1"/>
    <row r="797" s="29" customFormat="1" ht="17.100000000000001" customHeight="1"/>
    <row r="798" s="29" customFormat="1" ht="17.100000000000001" customHeight="1"/>
    <row r="799" s="29" customFormat="1" ht="17.100000000000001" customHeight="1"/>
    <row r="800" s="29" customFormat="1" ht="17.100000000000001" customHeight="1"/>
    <row r="801" s="29" customFormat="1" ht="17.100000000000001" customHeight="1"/>
    <row r="802" s="29" customFormat="1" ht="17.100000000000001" customHeight="1"/>
    <row r="803" s="29" customFormat="1" ht="17.100000000000001" customHeight="1"/>
    <row r="804" s="29" customFormat="1" ht="17.100000000000001" customHeight="1"/>
    <row r="805" s="29" customFormat="1" ht="17.100000000000001" customHeight="1"/>
    <row r="806" s="29" customFormat="1" ht="17.100000000000001" customHeight="1"/>
    <row r="807" s="29" customFormat="1" ht="17.100000000000001" customHeight="1"/>
    <row r="808" s="29" customFormat="1" ht="17.100000000000001" customHeight="1"/>
    <row r="809" s="29" customFormat="1" ht="17.100000000000001" customHeight="1"/>
    <row r="810" s="29" customFormat="1" ht="17.100000000000001" customHeight="1"/>
    <row r="811" s="29" customFormat="1" ht="17.100000000000001" customHeight="1"/>
    <row r="812" s="29" customFormat="1" ht="17.100000000000001" customHeight="1"/>
    <row r="813" s="29" customFormat="1" ht="17.100000000000001" customHeight="1"/>
    <row r="814" s="29" customFormat="1" ht="17.100000000000001" customHeight="1"/>
    <row r="815" s="29" customFormat="1" ht="17.100000000000001" customHeight="1"/>
    <row r="816" s="29" customFormat="1" ht="17.100000000000001" customHeight="1"/>
    <row r="817" s="29" customFormat="1" ht="17.100000000000001" customHeight="1"/>
    <row r="818" s="29" customFormat="1" ht="17.100000000000001" customHeight="1"/>
    <row r="819" s="29" customFormat="1" ht="17.100000000000001" customHeight="1"/>
    <row r="820" s="29" customFormat="1" ht="17.100000000000001" customHeight="1"/>
    <row r="821" s="29" customFormat="1" ht="17.100000000000001" customHeight="1"/>
    <row r="822" s="29" customFormat="1" ht="17.100000000000001" customHeight="1"/>
    <row r="823" s="29" customFormat="1" ht="17.100000000000001" customHeight="1"/>
    <row r="824" s="29" customFormat="1" ht="17.100000000000001" customHeight="1"/>
    <row r="825" s="29" customFormat="1" ht="17.100000000000001" customHeight="1"/>
    <row r="826" s="29" customFormat="1" ht="17.100000000000001" customHeight="1"/>
    <row r="827" s="29" customFormat="1" ht="17.100000000000001" customHeight="1"/>
    <row r="828" s="29" customFormat="1" ht="17.100000000000001" customHeight="1"/>
    <row r="829" s="29" customFormat="1" ht="17.100000000000001" customHeight="1"/>
    <row r="830" s="29" customFormat="1" ht="17.100000000000001" customHeight="1"/>
    <row r="831" s="29" customFormat="1" ht="17.100000000000001" customHeight="1"/>
    <row r="832" s="29" customFormat="1" ht="17.100000000000001" customHeight="1"/>
    <row r="833" s="29" customFormat="1" ht="17.100000000000001" customHeight="1"/>
    <row r="834" s="29" customFormat="1" ht="17.100000000000001" customHeight="1"/>
    <row r="835" s="29" customFormat="1" ht="17.100000000000001" customHeight="1"/>
    <row r="836" s="29" customFormat="1" ht="17.100000000000001" customHeight="1"/>
    <row r="837" s="29" customFormat="1" ht="17.100000000000001" customHeight="1"/>
    <row r="838" s="29" customFormat="1" ht="17.100000000000001" customHeight="1"/>
    <row r="839" s="29" customFormat="1" ht="17.100000000000001" customHeight="1"/>
    <row r="840" s="29" customFormat="1" ht="17.100000000000001" customHeight="1"/>
    <row r="841" s="29" customFormat="1" ht="17.100000000000001" customHeight="1"/>
    <row r="842" s="29" customFormat="1" ht="17.100000000000001" customHeight="1"/>
    <row r="843" s="29" customFormat="1" ht="17.100000000000001" customHeight="1"/>
    <row r="844" s="29" customFormat="1" ht="17.100000000000001" customHeight="1"/>
    <row r="845" s="29" customFormat="1" ht="17.100000000000001" customHeight="1"/>
    <row r="846" s="29" customFormat="1" ht="17.100000000000001" customHeight="1"/>
    <row r="847" s="29" customFormat="1" ht="17.100000000000001" customHeight="1"/>
    <row r="848" s="29" customFormat="1" ht="17.100000000000001" customHeight="1"/>
    <row r="849" s="29" customFormat="1" ht="17.100000000000001" customHeight="1"/>
    <row r="850" s="29" customFormat="1" ht="17.100000000000001" customHeight="1"/>
    <row r="851" s="29" customFormat="1" ht="17.100000000000001" customHeight="1"/>
    <row r="852" s="29" customFormat="1" ht="17.100000000000001" customHeight="1"/>
    <row r="853" s="29" customFormat="1" ht="17.100000000000001" customHeight="1"/>
    <row r="854" s="29" customFormat="1" ht="17.100000000000001" customHeight="1"/>
    <row r="855" s="29" customFormat="1" ht="17.100000000000001" customHeight="1"/>
    <row r="856" s="29" customFormat="1" ht="17.100000000000001" customHeight="1"/>
    <row r="857" s="29" customFormat="1" ht="17.100000000000001" customHeight="1"/>
    <row r="858" s="29" customFormat="1" ht="17.100000000000001" customHeight="1"/>
    <row r="859" s="29" customFormat="1" ht="17.100000000000001" customHeight="1"/>
    <row r="860" s="29" customFormat="1" ht="17.100000000000001" customHeight="1"/>
    <row r="861" s="29" customFormat="1" ht="17.100000000000001" customHeight="1"/>
    <row r="862" s="29" customFormat="1" ht="17.100000000000001" customHeight="1"/>
    <row r="863" s="29" customFormat="1" ht="17.100000000000001" customHeight="1"/>
    <row r="864" s="29" customFormat="1" ht="17.100000000000001" customHeight="1"/>
    <row r="865" s="29" customFormat="1" ht="17.100000000000001" customHeight="1"/>
    <row r="866" s="29" customFormat="1" ht="17.100000000000001" customHeight="1"/>
    <row r="867" s="29" customFormat="1" ht="17.100000000000001" customHeight="1"/>
    <row r="868" s="29" customFormat="1" ht="17.100000000000001" customHeight="1"/>
    <row r="869" s="29" customFormat="1" ht="17.100000000000001" customHeight="1"/>
    <row r="870" s="29" customFormat="1" ht="17.100000000000001" customHeight="1"/>
    <row r="871" s="29" customFormat="1" ht="17.100000000000001" customHeight="1"/>
    <row r="872" s="29" customFormat="1" ht="17.100000000000001" customHeight="1"/>
    <row r="873" s="29" customFormat="1" ht="17.100000000000001" customHeight="1"/>
    <row r="874" s="29" customFormat="1" ht="17.100000000000001" customHeight="1"/>
    <row r="875" s="29" customFormat="1" ht="17.100000000000001" customHeight="1"/>
    <row r="876" s="29" customFormat="1" ht="17.100000000000001" customHeight="1"/>
    <row r="877" s="29" customFormat="1" ht="17.100000000000001" customHeight="1"/>
    <row r="878" s="29" customFormat="1" ht="17.100000000000001" customHeight="1"/>
    <row r="879" s="29" customFormat="1" ht="17.100000000000001" customHeight="1"/>
    <row r="880" s="29" customFormat="1" ht="17.100000000000001" customHeight="1"/>
    <row r="881" s="29" customFormat="1" ht="17.100000000000001" customHeight="1"/>
    <row r="882" s="29" customFormat="1" ht="17.100000000000001" customHeight="1"/>
    <row r="883" s="29" customFormat="1" ht="17.100000000000001" customHeight="1"/>
    <row r="884" s="29" customFormat="1" ht="17.100000000000001" customHeight="1"/>
    <row r="885" s="29" customFormat="1" ht="17.100000000000001" customHeight="1"/>
    <row r="886" s="29" customFormat="1" ht="17.100000000000001" customHeight="1"/>
    <row r="887" s="29" customFormat="1" ht="17.100000000000001" customHeight="1"/>
    <row r="888" s="29" customFormat="1" ht="17.100000000000001" customHeight="1"/>
    <row r="889" s="29" customFormat="1" ht="17.100000000000001" customHeight="1"/>
    <row r="890" s="29" customFormat="1" ht="17.100000000000001" customHeight="1"/>
    <row r="891" s="29" customFormat="1" ht="17.100000000000001" customHeight="1"/>
    <row r="892" s="29" customFormat="1" ht="17.100000000000001" customHeight="1"/>
    <row r="893" s="29" customFormat="1" ht="17.100000000000001" customHeight="1"/>
    <row r="894" s="29" customFormat="1" ht="17.100000000000001" customHeight="1"/>
    <row r="895" s="29" customFormat="1" ht="17.100000000000001" customHeight="1"/>
    <row r="896" s="29" customFormat="1" ht="17.100000000000001" customHeight="1"/>
    <row r="897" s="29" customFormat="1" ht="17.100000000000001" customHeight="1"/>
    <row r="898" s="29" customFormat="1" ht="17.100000000000001" customHeight="1"/>
    <row r="899" s="29" customFormat="1" ht="17.100000000000001" customHeight="1"/>
    <row r="900" s="29" customFormat="1" ht="17.100000000000001" customHeight="1"/>
    <row r="901" s="29" customFormat="1" ht="17.100000000000001" customHeight="1"/>
    <row r="902" s="29" customFormat="1" ht="17.100000000000001" customHeight="1"/>
    <row r="903" s="29" customFormat="1" ht="17.100000000000001" customHeight="1"/>
    <row r="904" s="29" customFormat="1" ht="17.100000000000001" customHeight="1"/>
    <row r="905" s="29" customFormat="1" ht="17.100000000000001" customHeight="1"/>
    <row r="906" s="29" customFormat="1" ht="17.100000000000001" customHeight="1"/>
    <row r="907" s="29" customFormat="1" ht="17.100000000000001" customHeight="1"/>
    <row r="908" s="29" customFormat="1" ht="17.100000000000001" customHeight="1"/>
    <row r="909" s="29" customFormat="1" ht="17.100000000000001" customHeight="1"/>
    <row r="910" s="29" customFormat="1" ht="17.100000000000001" customHeight="1"/>
    <row r="911" s="29" customFormat="1" ht="17.100000000000001" customHeight="1"/>
    <row r="912" s="29" customFormat="1" ht="17.100000000000001" customHeight="1"/>
    <row r="913" s="29" customFormat="1" ht="17.100000000000001" customHeight="1"/>
    <row r="914" s="29" customFormat="1" ht="17.100000000000001" customHeight="1"/>
    <row r="915" s="29" customFormat="1" ht="17.100000000000001" customHeight="1"/>
    <row r="916" s="29" customFormat="1" ht="17.100000000000001" customHeight="1"/>
    <row r="917" s="29" customFormat="1" ht="17.100000000000001" customHeight="1"/>
    <row r="918" s="29" customFormat="1" ht="17.100000000000001" customHeight="1"/>
    <row r="919" s="29" customFormat="1" ht="17.100000000000001" customHeight="1"/>
    <row r="920" s="29" customFormat="1" ht="17.100000000000001" customHeight="1"/>
    <row r="921" s="29" customFormat="1" ht="17.100000000000001" customHeight="1"/>
    <row r="922" s="29" customFormat="1" ht="17.100000000000001" customHeight="1"/>
    <row r="923" s="29" customFormat="1" ht="17.100000000000001" customHeight="1"/>
    <row r="924" s="29" customFormat="1" ht="17.100000000000001" customHeight="1"/>
    <row r="925" s="29" customFormat="1" ht="17.100000000000001" customHeight="1"/>
    <row r="926" s="29" customFormat="1" ht="17.100000000000001" customHeight="1"/>
    <row r="927" s="29" customFormat="1" ht="17.100000000000001" customHeight="1"/>
    <row r="928" s="29" customFormat="1" ht="17.100000000000001" customHeight="1"/>
    <row r="929" s="29" customFormat="1" ht="17.100000000000001" customHeight="1"/>
    <row r="930" s="29" customFormat="1" ht="17.100000000000001" customHeight="1"/>
    <row r="931" s="29" customFormat="1" ht="17.100000000000001" customHeight="1"/>
    <row r="932" s="29" customFormat="1" ht="17.100000000000001" customHeight="1"/>
    <row r="933" s="29" customFormat="1" ht="17.100000000000001" customHeight="1"/>
    <row r="934" s="29" customFormat="1" ht="17.100000000000001" customHeight="1"/>
    <row r="935" s="29" customFormat="1" ht="17.100000000000001" customHeight="1"/>
    <row r="936" s="29" customFormat="1" ht="17.100000000000001" customHeight="1"/>
    <row r="937" s="29" customFormat="1" ht="17.100000000000001" customHeight="1"/>
    <row r="938" s="29" customFormat="1" ht="17.100000000000001" customHeight="1"/>
    <row r="939" s="29" customFormat="1" ht="17.100000000000001" customHeight="1"/>
    <row r="940" s="29" customFormat="1" ht="17.100000000000001" customHeight="1"/>
    <row r="941" s="29" customFormat="1" ht="17.100000000000001" customHeight="1"/>
    <row r="942" s="29" customFormat="1" ht="17.100000000000001" customHeight="1"/>
    <row r="943" s="29" customFormat="1" ht="17.100000000000001" customHeight="1"/>
    <row r="944" s="29" customFormat="1" ht="17.100000000000001" customHeight="1"/>
    <row r="945" s="29" customFormat="1" ht="17.100000000000001" customHeight="1"/>
    <row r="946" s="29" customFormat="1" ht="17.100000000000001" customHeight="1"/>
    <row r="947" s="29" customFormat="1" ht="17.100000000000001" customHeight="1"/>
    <row r="948" s="29" customFormat="1" ht="17.100000000000001" customHeight="1"/>
    <row r="949" s="29" customFormat="1" ht="17.100000000000001" customHeight="1"/>
    <row r="950" s="29" customFormat="1" ht="17.100000000000001" customHeight="1"/>
    <row r="951" s="29" customFormat="1" ht="17.100000000000001" customHeight="1"/>
    <row r="952" s="29" customFormat="1" ht="17.100000000000001" customHeight="1"/>
    <row r="953" s="29" customFormat="1" ht="17.100000000000001" customHeight="1"/>
    <row r="954" s="29" customFormat="1" ht="17.100000000000001" customHeight="1"/>
    <row r="955" s="29" customFormat="1" ht="17.100000000000001" customHeight="1"/>
    <row r="956" s="29" customFormat="1" ht="17.100000000000001" customHeight="1"/>
    <row r="957" s="29" customFormat="1" ht="17.100000000000001" customHeight="1"/>
    <row r="958" s="29" customFormat="1" ht="17.100000000000001" customHeight="1"/>
    <row r="959" s="29" customFormat="1" ht="17.100000000000001" customHeight="1"/>
    <row r="960" s="29" customFormat="1" ht="17.100000000000001" customHeight="1"/>
    <row r="961" s="29" customFormat="1" ht="17.100000000000001" customHeight="1"/>
    <row r="962" s="29" customFormat="1" ht="17.100000000000001" customHeight="1"/>
    <row r="963" s="29" customFormat="1" ht="17.100000000000001" customHeight="1"/>
    <row r="964" s="29" customFormat="1" ht="17.100000000000001" customHeight="1"/>
    <row r="965" s="29" customFormat="1" ht="17.100000000000001" customHeight="1"/>
    <row r="966" s="29" customFormat="1" ht="17.100000000000001" customHeight="1"/>
    <row r="967" s="29" customFormat="1" ht="17.100000000000001" customHeight="1"/>
    <row r="968" s="29" customFormat="1" ht="17.100000000000001" customHeight="1"/>
    <row r="969" s="29" customFormat="1" ht="17.100000000000001" customHeight="1"/>
    <row r="970" s="29" customFormat="1" ht="17.100000000000001" customHeight="1"/>
    <row r="971" s="29" customFormat="1" ht="17.100000000000001" customHeight="1"/>
    <row r="972" s="29" customFormat="1" ht="17.100000000000001" customHeight="1"/>
    <row r="973" s="29" customFormat="1" ht="17.100000000000001" customHeight="1"/>
    <row r="974" s="29" customFormat="1" ht="17.100000000000001" customHeight="1"/>
    <row r="975" s="29" customFormat="1" ht="17.100000000000001" customHeight="1"/>
    <row r="976" s="29" customFormat="1" ht="17.100000000000001" customHeight="1"/>
    <row r="977" s="29" customFormat="1" ht="17.100000000000001" customHeight="1"/>
    <row r="978" s="29" customFormat="1" ht="17.100000000000001" customHeight="1"/>
    <row r="979" s="29" customFormat="1" ht="17.100000000000001" customHeight="1"/>
    <row r="980" s="29" customFormat="1" ht="17.100000000000001" customHeight="1"/>
    <row r="981" s="29" customFormat="1" ht="17.100000000000001" customHeight="1"/>
    <row r="982" s="29" customFormat="1" ht="17.100000000000001" customHeight="1"/>
    <row r="983" s="29" customFormat="1" ht="17.100000000000001" customHeight="1"/>
    <row r="984" s="29" customFormat="1" ht="17.100000000000001" customHeight="1"/>
    <row r="985" s="29" customFormat="1" ht="17.100000000000001" customHeight="1"/>
    <row r="986" s="29" customFormat="1" ht="17.100000000000001" customHeight="1"/>
    <row r="987" s="29" customFormat="1" ht="17.100000000000001" customHeight="1"/>
    <row r="988" s="29" customFormat="1" ht="17.100000000000001" customHeight="1"/>
    <row r="989" s="29" customFormat="1" ht="17.100000000000001" customHeight="1"/>
    <row r="990" s="29" customFormat="1" ht="17.100000000000001" customHeight="1"/>
    <row r="991" s="29" customFormat="1" ht="17.100000000000001" customHeight="1"/>
    <row r="992" s="29" customFormat="1" ht="17.100000000000001" customHeight="1"/>
    <row r="993" s="29" customFormat="1" ht="17.100000000000001" customHeight="1"/>
    <row r="994" s="29" customFormat="1" ht="17.100000000000001" customHeight="1"/>
    <row r="995" s="29" customFormat="1" ht="17.100000000000001" customHeight="1"/>
    <row r="996" s="29" customFormat="1" ht="17.100000000000001" customHeight="1"/>
    <row r="997" s="29" customFormat="1" ht="17.100000000000001" customHeight="1"/>
    <row r="998" s="29" customFormat="1" ht="17.100000000000001" customHeight="1"/>
    <row r="999" s="29" customFormat="1" ht="17.100000000000001" customHeight="1"/>
    <row r="1000" s="29" customFormat="1" ht="17.100000000000001" customHeight="1"/>
    <row r="1001" s="29" customFormat="1" ht="17.100000000000001" customHeight="1"/>
    <row r="1002" s="29" customFormat="1" ht="17.100000000000001" customHeight="1"/>
    <row r="1003" s="29" customFormat="1" ht="17.100000000000001" customHeight="1"/>
    <row r="1004" s="29" customFormat="1" ht="17.100000000000001" customHeight="1"/>
    <row r="1005" s="29" customFormat="1" ht="17.100000000000001" customHeight="1"/>
    <row r="1006" s="29" customFormat="1" ht="17.100000000000001" customHeight="1"/>
    <row r="1007" s="29" customFormat="1" ht="17.100000000000001" customHeight="1"/>
    <row r="1008" s="29" customFormat="1" ht="17.100000000000001" customHeight="1"/>
    <row r="1009" s="29" customFormat="1" ht="17.100000000000001" customHeight="1"/>
    <row r="1010" s="29" customFormat="1" ht="17.100000000000001" customHeight="1"/>
    <row r="1011" s="29" customFormat="1" ht="17.100000000000001" customHeight="1"/>
    <row r="1012" s="29" customFormat="1" ht="17.100000000000001" customHeight="1"/>
    <row r="1013" s="29" customFormat="1" ht="17.100000000000001" customHeight="1"/>
    <row r="1014" s="29" customFormat="1" ht="17.100000000000001" customHeight="1"/>
    <row r="1015" s="29" customFormat="1" ht="17.100000000000001" customHeight="1"/>
    <row r="1016" s="29" customFormat="1" ht="17.100000000000001" customHeight="1"/>
    <row r="1017" s="29" customFormat="1" ht="17.100000000000001" customHeight="1"/>
    <row r="1018" s="29" customFormat="1" ht="17.100000000000001" customHeight="1"/>
    <row r="1019" s="29" customFormat="1" ht="17.100000000000001" customHeight="1"/>
    <row r="1020" s="29" customFormat="1" ht="17.100000000000001" customHeight="1"/>
    <row r="1021" s="29" customFormat="1" ht="17.100000000000001" customHeight="1"/>
    <row r="1022" s="29" customFormat="1" ht="17.100000000000001" customHeight="1"/>
    <row r="1023" s="29" customFormat="1" ht="17.100000000000001" customHeight="1"/>
    <row r="1024" s="29" customFormat="1" ht="17.100000000000001" customHeight="1"/>
    <row r="1025" s="29" customFormat="1" ht="17.100000000000001" customHeight="1"/>
    <row r="1026" s="29" customFormat="1" ht="17.100000000000001" customHeight="1"/>
    <row r="1027" s="29" customFormat="1" ht="17.100000000000001" customHeight="1"/>
    <row r="1028" s="29" customFormat="1" ht="17.100000000000001" customHeight="1"/>
    <row r="1029" s="29" customFormat="1" ht="17.100000000000001" customHeight="1"/>
    <row r="1030" s="29" customFormat="1" ht="17.100000000000001" customHeight="1"/>
    <row r="1031" s="29" customFormat="1" ht="17.100000000000001" customHeight="1"/>
    <row r="1032" s="29" customFormat="1" ht="17.100000000000001" customHeight="1"/>
    <row r="1033" s="29" customFormat="1" ht="17.100000000000001" customHeight="1"/>
    <row r="1034" s="29" customFormat="1" ht="17.100000000000001" customHeight="1"/>
    <row r="1035" s="29" customFormat="1" ht="17.100000000000001" customHeight="1"/>
    <row r="1036" s="29" customFormat="1" ht="17.100000000000001" customHeight="1"/>
    <row r="1037" s="29" customFormat="1" ht="17.100000000000001" customHeight="1"/>
    <row r="1038" s="29" customFormat="1" ht="17.100000000000001" customHeight="1"/>
    <row r="1039" s="29" customFormat="1" ht="17.100000000000001" customHeight="1"/>
    <row r="1040" s="29" customFormat="1" ht="17.100000000000001" customHeight="1"/>
    <row r="1041" s="29" customFormat="1" ht="17.100000000000001" customHeight="1"/>
    <row r="1042" s="29" customFormat="1" ht="17.100000000000001" customHeight="1"/>
    <row r="1043" s="29" customFormat="1" ht="17.100000000000001" customHeight="1"/>
    <row r="1044" s="29" customFormat="1" ht="17.100000000000001" customHeight="1"/>
    <row r="1045" s="29" customFormat="1" ht="17.100000000000001" customHeight="1"/>
    <row r="1046" s="29" customFormat="1" ht="17.100000000000001" customHeight="1"/>
    <row r="1047" s="29" customFormat="1" ht="17.100000000000001" customHeight="1"/>
    <row r="1048" s="29" customFormat="1" ht="17.100000000000001" customHeight="1"/>
    <row r="1049" s="29" customFormat="1" ht="17.100000000000001" customHeight="1"/>
    <row r="1050" s="29" customFormat="1" ht="17.100000000000001" customHeight="1"/>
    <row r="1051" s="29" customFormat="1" ht="17.100000000000001" customHeight="1"/>
    <row r="1052" s="29" customFormat="1" ht="17.100000000000001" customHeight="1"/>
    <row r="1053" s="29" customFormat="1" ht="17.100000000000001" customHeight="1"/>
    <row r="1054" s="29" customFormat="1" ht="17.100000000000001" customHeight="1"/>
    <row r="1055" s="29" customFormat="1" ht="17.100000000000001" customHeight="1"/>
    <row r="1056" s="29" customFormat="1" ht="17.100000000000001" customHeight="1"/>
    <row r="1057" s="29" customFormat="1" ht="17.100000000000001" customHeight="1"/>
    <row r="1058" s="29" customFormat="1" ht="17.100000000000001" customHeight="1"/>
    <row r="1059" s="29" customFormat="1" ht="17.100000000000001" customHeight="1"/>
    <row r="1060" s="29" customFormat="1" ht="17.100000000000001" customHeight="1"/>
    <row r="1061" s="29" customFormat="1" ht="17.100000000000001" customHeight="1"/>
    <row r="1062" s="29" customFormat="1" ht="17.100000000000001" customHeight="1"/>
  </sheetData>
  <sheetProtection formatCells="0" insertHyperlinks="0" autoFilter="0"/>
  <protectedRanges>
    <protectedRange sqref="D6:D32 R6:R32" name="区域1"/>
  </protectedRanges>
  <mergeCells count="3">
    <mergeCell ref="H4:I4"/>
    <mergeCell ref="A5:A6"/>
    <mergeCell ref="A10:A11"/>
  </mergeCells>
  <phoneticPr fontId="29" type="noConversion"/>
  <conditionalFormatting sqref="D7:R1048576">
    <cfRule type="expression" dxfId="48" priority="1">
      <formula>MOD(ROW(),2)=0</formula>
    </cfRule>
  </conditionalFormatting>
  <printOptions horizontalCentered="1"/>
  <pageMargins left="0.196527777777778" right="0.196527777777778" top="0.196527777777778" bottom="0.39305555555555599" header="0.51180555555555596" footer="0.196527777777778"/>
  <pageSetup paperSize="9" scale="94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XEB1064"/>
  <sheetViews>
    <sheetView showGridLines="0" showZeros="0" workbookViewId="0"/>
  </sheetViews>
  <sheetFormatPr defaultColWidth="9" defaultRowHeight="17.100000000000001" customHeight="1"/>
  <cols>
    <col min="1" max="1" width="21.625" style="31" customWidth="1"/>
    <col min="2" max="2" width="4" style="32" customWidth="1"/>
    <col min="3" max="3" width="4" style="33" customWidth="1"/>
    <col min="4" max="4" width="6.25" style="34" customWidth="1"/>
    <col min="5" max="5" width="22.875" style="34" customWidth="1"/>
    <col min="6" max="18" width="10.625" style="34" customWidth="1"/>
    <col min="19" max="19" width="4" style="33" customWidth="1"/>
    <col min="20" max="20" width="4" style="32" customWidth="1"/>
    <col min="21" max="16356" width="9" style="29"/>
    <col min="16357" max="16384" width="9" style="35"/>
  </cols>
  <sheetData>
    <row r="1" spans="1:18" s="29" customFormat="1" ht="15.95" customHeight="1">
      <c r="A1" s="36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s="29" customFormat="1" ht="24" customHeight="1">
      <c r="A2" s="36"/>
      <c r="B2" s="32"/>
      <c r="C2" s="32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18" s="29" customFormat="1" ht="15.95" customHeight="1">
      <c r="A3" s="36"/>
      <c r="B3" s="32"/>
      <c r="C3" s="33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1:18" s="30" customFormat="1" ht="27.75">
      <c r="A4" s="37"/>
      <c r="B4" s="38"/>
      <c r="C4" s="39"/>
      <c r="D4" s="40" t="s">
        <v>29</v>
      </c>
      <c r="E4" s="40"/>
      <c r="F4" s="45">
        <f>'01单据录入'!F1</f>
        <v>2021</v>
      </c>
      <c r="G4" s="46"/>
      <c r="H4" s="232">
        <f>R5</f>
        <v>11506</v>
      </c>
      <c r="I4" s="232"/>
      <c r="L4" s="49"/>
      <c r="M4" s="49"/>
      <c r="N4" s="49"/>
      <c r="O4" s="27"/>
      <c r="P4" s="27"/>
    </row>
    <row r="5" spans="1:18" s="29" customFormat="1" ht="16.5">
      <c r="A5" s="233"/>
      <c r="B5" s="32"/>
      <c r="C5" s="33"/>
      <c r="D5" s="41" t="s">
        <v>14</v>
      </c>
      <c r="E5" s="79" t="s">
        <v>15</v>
      </c>
      <c r="F5" s="47">
        <f t="shared" ref="F5:R5" si="0">SUBTOTAL(9,F7:F1048576)</f>
        <v>2088</v>
      </c>
      <c r="G5" s="47">
        <f t="shared" si="0"/>
        <v>1752</v>
      </c>
      <c r="H5" s="47">
        <f t="shared" si="0"/>
        <v>986</v>
      </c>
      <c r="I5" s="47">
        <f t="shared" si="0"/>
        <v>1159</v>
      </c>
      <c r="J5" s="47">
        <f t="shared" si="0"/>
        <v>2791</v>
      </c>
      <c r="K5" s="47">
        <f t="shared" si="0"/>
        <v>2730</v>
      </c>
      <c r="L5" s="47">
        <f t="shared" si="0"/>
        <v>0</v>
      </c>
      <c r="M5" s="50">
        <f t="shared" si="0"/>
        <v>0</v>
      </c>
      <c r="N5" s="47">
        <f t="shared" si="0"/>
        <v>0</v>
      </c>
      <c r="O5" s="41">
        <f t="shared" si="0"/>
        <v>0</v>
      </c>
      <c r="P5" s="47">
        <f t="shared" si="0"/>
        <v>0</v>
      </c>
      <c r="Q5" s="41">
        <f t="shared" si="0"/>
        <v>0</v>
      </c>
      <c r="R5" s="47">
        <f t="shared" si="0"/>
        <v>11506</v>
      </c>
    </row>
    <row r="6" spans="1:18" s="29" customFormat="1" ht="24" customHeight="1">
      <c r="A6" s="233"/>
      <c r="B6" s="32"/>
      <c r="C6" s="33"/>
      <c r="D6" s="42" t="s">
        <v>7</v>
      </c>
      <c r="E6" s="42" t="s">
        <v>16</v>
      </c>
      <c r="F6" s="42" t="s">
        <v>17</v>
      </c>
      <c r="G6" s="42" t="s">
        <v>18</v>
      </c>
      <c r="H6" s="42" t="s">
        <v>19</v>
      </c>
      <c r="I6" s="42" t="s">
        <v>20</v>
      </c>
      <c r="J6" s="42" t="s">
        <v>21</v>
      </c>
      <c r="K6" s="42" t="s">
        <v>22</v>
      </c>
      <c r="L6" s="42" t="s">
        <v>23</v>
      </c>
      <c r="M6" s="42" t="s">
        <v>24</v>
      </c>
      <c r="N6" s="42" t="s">
        <v>25</v>
      </c>
      <c r="O6" s="42" t="s">
        <v>26</v>
      </c>
      <c r="P6" s="42" t="s">
        <v>27</v>
      </c>
      <c r="Q6" s="42" t="s">
        <v>28</v>
      </c>
      <c r="R6" s="42" t="s">
        <v>14</v>
      </c>
    </row>
    <row r="7" spans="1:18" s="29" customFormat="1" ht="16.5" customHeight="1">
      <c r="A7" s="43"/>
      <c r="B7" s="32"/>
      <c r="C7" s="33"/>
      <c r="D7" s="44">
        <v>1</v>
      </c>
      <c r="E7" s="48" t="s">
        <v>253</v>
      </c>
      <c r="F7" s="48">
        <v>316</v>
      </c>
      <c r="G7" s="48">
        <v>595</v>
      </c>
      <c r="H7" s="48"/>
      <c r="I7" s="48">
        <v>238</v>
      </c>
      <c r="J7" s="48">
        <v>746</v>
      </c>
      <c r="K7" s="48">
        <v>231</v>
      </c>
      <c r="L7" s="48"/>
      <c r="M7" s="48"/>
      <c r="N7" s="48"/>
      <c r="O7" s="48"/>
      <c r="P7" s="48"/>
      <c r="Q7" s="48"/>
      <c r="R7" s="51">
        <v>2126</v>
      </c>
    </row>
    <row r="8" spans="1:18" s="29" customFormat="1" ht="16.5" customHeight="1">
      <c r="A8" s="235"/>
      <c r="B8" s="32"/>
      <c r="C8" s="33"/>
      <c r="D8" s="44">
        <v>2</v>
      </c>
      <c r="E8" s="48" t="s">
        <v>255</v>
      </c>
      <c r="F8" s="48">
        <v>777</v>
      </c>
      <c r="G8" s="48"/>
      <c r="H8" s="48">
        <v>56</v>
      </c>
      <c r="I8" s="48">
        <v>249</v>
      </c>
      <c r="J8" s="48"/>
      <c r="K8" s="48">
        <v>220</v>
      </c>
      <c r="L8" s="48"/>
      <c r="M8" s="48"/>
      <c r="N8" s="48"/>
      <c r="O8" s="48"/>
      <c r="P8" s="48"/>
      <c r="Q8" s="48"/>
      <c r="R8" s="51">
        <v>1302</v>
      </c>
    </row>
    <row r="9" spans="1:18" s="29" customFormat="1" ht="16.5" customHeight="1">
      <c r="A9" s="235"/>
      <c r="B9" s="32"/>
      <c r="C9" s="33"/>
      <c r="D9" s="44">
        <v>3</v>
      </c>
      <c r="E9" s="48" t="s">
        <v>257</v>
      </c>
      <c r="F9" s="48">
        <v>995</v>
      </c>
      <c r="G9" s="48"/>
      <c r="H9" s="48">
        <v>627</v>
      </c>
      <c r="I9" s="48"/>
      <c r="J9" s="48">
        <v>527</v>
      </c>
      <c r="K9" s="48">
        <v>988</v>
      </c>
      <c r="L9" s="48"/>
      <c r="M9" s="48"/>
      <c r="N9" s="48"/>
      <c r="O9" s="48"/>
      <c r="P9" s="48"/>
      <c r="Q9" s="48"/>
      <c r="R9" s="51">
        <v>3137</v>
      </c>
    </row>
    <row r="10" spans="1:18" s="29" customFormat="1" ht="16.5" customHeight="1">
      <c r="A10" s="236"/>
      <c r="B10" s="32"/>
      <c r="C10" s="33"/>
      <c r="D10" s="44">
        <v>4</v>
      </c>
      <c r="E10" s="48" t="s">
        <v>226</v>
      </c>
      <c r="F10" s="48"/>
      <c r="G10" s="48">
        <v>929</v>
      </c>
      <c r="H10" s="48">
        <v>303</v>
      </c>
      <c r="I10" s="48"/>
      <c r="J10" s="48">
        <v>927</v>
      </c>
      <c r="K10" s="48">
        <v>461</v>
      </c>
      <c r="L10" s="48"/>
      <c r="M10" s="48"/>
      <c r="N10" s="48"/>
      <c r="O10" s="48"/>
      <c r="P10" s="48"/>
      <c r="Q10" s="48"/>
      <c r="R10" s="51">
        <v>2620</v>
      </c>
    </row>
    <row r="11" spans="1:18" s="29" customFormat="1" ht="16.5" customHeight="1">
      <c r="A11" s="236"/>
      <c r="B11" s="32"/>
      <c r="C11" s="33"/>
      <c r="D11" s="44">
        <v>5</v>
      </c>
      <c r="E11" s="48" t="s">
        <v>241</v>
      </c>
      <c r="F11" s="48"/>
      <c r="G11" s="48">
        <v>228</v>
      </c>
      <c r="H11" s="48"/>
      <c r="I11" s="48">
        <v>672</v>
      </c>
      <c r="J11" s="48">
        <v>591</v>
      </c>
      <c r="K11" s="48">
        <v>830</v>
      </c>
      <c r="L11" s="48"/>
      <c r="M11" s="48"/>
      <c r="N11" s="48"/>
      <c r="O11" s="48"/>
      <c r="P11" s="48"/>
      <c r="Q11" s="48"/>
      <c r="R11" s="51">
        <v>2321</v>
      </c>
    </row>
    <row r="12" spans="1:18" s="29" customFormat="1" ht="16.5" customHeight="1">
      <c r="A12" s="234"/>
      <c r="D12" s="44">
        <v>6</v>
      </c>
      <c r="E12" s="48" t="s">
        <v>242</v>
      </c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51"/>
    </row>
    <row r="13" spans="1:18" s="29" customFormat="1" ht="16.5" customHeight="1">
      <c r="A13" s="234"/>
      <c r="D13" s="44">
        <v>7</v>
      </c>
      <c r="E13" s="48" t="s">
        <v>243</v>
      </c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51"/>
    </row>
    <row r="14" spans="1:18" s="29" customFormat="1" ht="16.5" customHeight="1">
      <c r="D14" s="44">
        <v>8</v>
      </c>
      <c r="E14" s="48" t="s">
        <v>244</v>
      </c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51"/>
    </row>
    <row r="15" spans="1:18" s="29" customFormat="1" ht="16.5" customHeight="1">
      <c r="D15" s="44">
        <v>9</v>
      </c>
      <c r="E15" s="48" t="s">
        <v>245</v>
      </c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51"/>
    </row>
    <row r="16" spans="1:18" s="29" customFormat="1" ht="16.5" customHeight="1"/>
    <row r="17" s="29" customFormat="1" ht="16.5" customHeight="1"/>
    <row r="18" s="29" customFormat="1" ht="16.5" customHeight="1"/>
    <row r="19" s="29" customFormat="1" ht="16.5" customHeight="1"/>
    <row r="20" s="29" customFormat="1" ht="16.5" customHeight="1"/>
    <row r="21" s="29" customFormat="1" ht="16.5" customHeight="1"/>
    <row r="22" s="29" customFormat="1" ht="16.5" customHeight="1"/>
    <row r="23" s="29" customFormat="1" ht="16.5" customHeight="1"/>
    <row r="24" s="29" customFormat="1" ht="16.5" customHeight="1"/>
    <row r="25" s="29" customFormat="1" ht="16.5" customHeight="1"/>
    <row r="26" s="29" customFormat="1" ht="16.5" customHeight="1"/>
    <row r="27" s="29" customFormat="1" ht="16.5" customHeight="1"/>
    <row r="28" s="29" customFormat="1" ht="16.5" customHeight="1"/>
    <row r="29" s="29" customFormat="1" ht="16.5" customHeight="1"/>
    <row r="30" s="29" customFormat="1" ht="16.5" customHeight="1"/>
    <row r="31" s="29" customFormat="1" ht="16.5" customHeight="1"/>
    <row r="32" s="29" customFormat="1" ht="16.5" customHeight="1"/>
    <row r="33" s="29" customFormat="1" ht="16.5" customHeight="1"/>
    <row r="34" s="29" customFormat="1" ht="16.5" customHeight="1"/>
    <row r="35" s="29" customFormat="1" ht="16.5" customHeight="1"/>
    <row r="36" s="29" customFormat="1" ht="17.100000000000001" customHeight="1"/>
    <row r="37" s="29" customFormat="1" ht="17.100000000000001" customHeight="1"/>
    <row r="38" s="29" customFormat="1" ht="17.100000000000001" customHeight="1"/>
    <row r="39" s="29" customFormat="1" ht="17.100000000000001" customHeight="1"/>
    <row r="40" s="29" customFormat="1" ht="17.100000000000001" customHeight="1"/>
    <row r="41" s="29" customFormat="1" ht="17.100000000000001" customHeight="1"/>
    <row r="42" s="29" customFormat="1" ht="17.100000000000001" customHeight="1"/>
    <row r="43" s="29" customFormat="1" ht="17.100000000000001" customHeight="1"/>
    <row r="44" s="29" customFormat="1" ht="17.100000000000001" customHeight="1"/>
    <row r="45" s="29" customFormat="1" ht="17.100000000000001" customHeight="1"/>
    <row r="46" s="29" customFormat="1" ht="17.100000000000001" customHeight="1"/>
    <row r="47" s="29" customFormat="1" ht="17.100000000000001" customHeight="1"/>
    <row r="48" s="29" customFormat="1" ht="17.100000000000001" customHeight="1"/>
    <row r="49" s="29" customFormat="1" ht="17.100000000000001" customHeight="1"/>
    <row r="50" s="29" customFormat="1" ht="17.100000000000001" customHeight="1"/>
    <row r="51" s="29" customFormat="1" ht="17.100000000000001" customHeight="1"/>
    <row r="52" s="29" customFormat="1" ht="17.100000000000001" customHeight="1"/>
    <row r="53" s="29" customFormat="1" ht="17.100000000000001" customHeight="1"/>
    <row r="54" s="29" customFormat="1" ht="17.100000000000001" customHeight="1"/>
    <row r="55" s="29" customFormat="1" ht="17.100000000000001" customHeight="1"/>
    <row r="56" s="29" customFormat="1" ht="17.100000000000001" customHeight="1"/>
    <row r="57" s="29" customFormat="1" ht="17.100000000000001" customHeight="1"/>
    <row r="58" s="29" customFormat="1" ht="17.100000000000001" customHeight="1"/>
    <row r="59" s="29" customFormat="1" ht="17.100000000000001" customHeight="1"/>
    <row r="60" s="29" customFormat="1" ht="17.100000000000001" customHeight="1"/>
    <row r="61" s="29" customFormat="1" ht="17.100000000000001" customHeight="1"/>
    <row r="62" s="29" customFormat="1" ht="17.100000000000001" customHeight="1"/>
    <row r="63" s="29" customFormat="1" ht="17.100000000000001" customHeight="1"/>
    <row r="64" s="29" customFormat="1" ht="17.100000000000001" customHeight="1"/>
    <row r="65" s="29" customFormat="1" ht="17.100000000000001" customHeight="1"/>
    <row r="66" s="29" customFormat="1" ht="17.100000000000001" customHeight="1"/>
    <row r="67" s="29" customFormat="1" ht="17.100000000000001" customHeight="1"/>
    <row r="68" s="29" customFormat="1" ht="17.100000000000001" customHeight="1"/>
    <row r="69" s="29" customFormat="1" ht="17.100000000000001" customHeight="1"/>
    <row r="70" s="29" customFormat="1" ht="17.100000000000001" customHeight="1"/>
    <row r="71" s="29" customFormat="1" ht="17.100000000000001" customHeight="1"/>
    <row r="72" s="29" customFormat="1" ht="17.100000000000001" customHeight="1"/>
    <row r="73" s="29" customFormat="1" ht="17.100000000000001" customHeight="1"/>
    <row r="74" s="29" customFormat="1" ht="17.100000000000001" customHeight="1"/>
    <row r="75" s="29" customFormat="1" ht="17.100000000000001" customHeight="1"/>
    <row r="76" s="29" customFormat="1" ht="17.100000000000001" customHeight="1"/>
    <row r="77" s="29" customFormat="1" ht="17.100000000000001" customHeight="1"/>
    <row r="78" s="29" customFormat="1" ht="17.100000000000001" customHeight="1"/>
    <row r="79" s="29" customFormat="1" ht="17.100000000000001" customHeight="1"/>
    <row r="80" s="29" customFormat="1" ht="17.100000000000001" customHeight="1"/>
    <row r="81" s="29" customFormat="1" ht="17.100000000000001" customHeight="1"/>
    <row r="82" s="29" customFormat="1" ht="17.100000000000001" customHeight="1"/>
    <row r="83" s="29" customFormat="1" ht="17.100000000000001" customHeight="1"/>
    <row r="84" s="29" customFormat="1" ht="17.100000000000001" customHeight="1"/>
    <row r="85" s="29" customFormat="1" ht="17.100000000000001" customHeight="1"/>
    <row r="86" s="29" customFormat="1" ht="17.100000000000001" customHeight="1"/>
    <row r="87" s="29" customFormat="1" ht="17.100000000000001" customHeight="1"/>
    <row r="88" s="29" customFormat="1" ht="17.100000000000001" customHeight="1"/>
    <row r="89" s="29" customFormat="1" ht="17.100000000000001" customHeight="1"/>
    <row r="90" s="29" customFormat="1" ht="17.100000000000001" customHeight="1"/>
    <row r="91" s="29" customFormat="1" ht="17.100000000000001" customHeight="1"/>
    <row r="92" s="29" customFormat="1" ht="17.100000000000001" customHeight="1"/>
    <row r="93" s="29" customFormat="1" ht="17.100000000000001" customHeight="1"/>
    <row r="94" s="29" customFormat="1" ht="17.100000000000001" customHeight="1"/>
    <row r="95" s="29" customFormat="1" ht="17.100000000000001" customHeight="1"/>
    <row r="96" s="29" customFormat="1" ht="17.100000000000001" customHeight="1"/>
    <row r="97" s="29" customFormat="1" ht="17.100000000000001" customHeight="1"/>
    <row r="98" s="29" customFormat="1" ht="17.100000000000001" customHeight="1"/>
    <row r="99" s="29" customFormat="1" ht="17.100000000000001" customHeight="1"/>
    <row r="100" s="29" customFormat="1" ht="17.100000000000001" customHeight="1"/>
    <row r="101" s="29" customFormat="1" ht="17.100000000000001" customHeight="1"/>
    <row r="102" s="29" customFormat="1" ht="17.100000000000001" customHeight="1"/>
    <row r="103" s="29" customFormat="1" ht="17.100000000000001" customHeight="1"/>
    <row r="104" s="29" customFormat="1" ht="17.100000000000001" customHeight="1"/>
    <row r="105" s="29" customFormat="1" ht="17.100000000000001" customHeight="1"/>
    <row r="106" s="29" customFormat="1" ht="17.100000000000001" customHeight="1"/>
    <row r="107" s="29" customFormat="1" ht="17.100000000000001" customHeight="1"/>
    <row r="108" s="29" customFormat="1" ht="17.100000000000001" customHeight="1"/>
    <row r="109" s="29" customFormat="1" ht="17.100000000000001" customHeight="1"/>
    <row r="110" s="29" customFormat="1" ht="17.100000000000001" customHeight="1"/>
    <row r="111" s="29" customFormat="1" ht="17.100000000000001" customHeight="1"/>
    <row r="112" s="29" customFormat="1" ht="17.100000000000001" customHeight="1"/>
    <row r="113" s="29" customFormat="1" ht="17.100000000000001" customHeight="1"/>
    <row r="114" s="29" customFormat="1" ht="17.100000000000001" customHeight="1"/>
    <row r="115" s="29" customFormat="1" ht="17.100000000000001" customHeight="1"/>
    <row r="116" s="29" customFormat="1" ht="17.100000000000001" customHeight="1"/>
    <row r="117" s="29" customFormat="1" ht="17.100000000000001" customHeight="1"/>
    <row r="118" s="29" customFormat="1" ht="17.100000000000001" customHeight="1"/>
    <row r="119" s="29" customFormat="1" ht="17.100000000000001" customHeight="1"/>
    <row r="120" s="29" customFormat="1" ht="17.100000000000001" customHeight="1"/>
    <row r="121" s="29" customFormat="1" ht="17.100000000000001" customHeight="1"/>
    <row r="122" s="29" customFormat="1" ht="17.100000000000001" customHeight="1"/>
    <row r="123" s="29" customFormat="1" ht="17.100000000000001" customHeight="1"/>
    <row r="124" s="29" customFormat="1" ht="17.100000000000001" customHeight="1"/>
    <row r="125" s="29" customFormat="1" ht="17.100000000000001" customHeight="1"/>
    <row r="126" s="29" customFormat="1" ht="17.100000000000001" customHeight="1"/>
    <row r="127" s="29" customFormat="1" ht="17.100000000000001" customHeight="1"/>
    <row r="128" s="29" customFormat="1" ht="17.100000000000001" customHeight="1"/>
    <row r="129" s="29" customFormat="1" ht="17.100000000000001" customHeight="1"/>
    <row r="130" s="29" customFormat="1" ht="17.100000000000001" customHeight="1"/>
    <row r="131" s="29" customFormat="1" ht="17.100000000000001" customHeight="1"/>
    <row r="132" s="29" customFormat="1" ht="17.100000000000001" customHeight="1"/>
    <row r="133" s="29" customFormat="1" ht="17.100000000000001" customHeight="1"/>
    <row r="134" s="29" customFormat="1" ht="17.100000000000001" customHeight="1"/>
    <row r="135" s="29" customFormat="1" ht="17.100000000000001" customHeight="1"/>
    <row r="136" s="29" customFormat="1" ht="17.100000000000001" customHeight="1"/>
    <row r="137" s="29" customFormat="1" ht="17.100000000000001" customHeight="1"/>
    <row r="138" s="29" customFormat="1" ht="17.100000000000001" customHeight="1"/>
    <row r="139" s="29" customFormat="1" ht="17.100000000000001" customHeight="1"/>
    <row r="140" s="29" customFormat="1" ht="17.100000000000001" customHeight="1"/>
    <row r="141" s="29" customFormat="1" ht="17.100000000000001" customHeight="1"/>
    <row r="142" s="29" customFormat="1" ht="17.100000000000001" customHeight="1"/>
    <row r="143" s="29" customFormat="1" ht="17.100000000000001" customHeight="1"/>
    <row r="144" s="29" customFormat="1" ht="17.100000000000001" customHeight="1"/>
    <row r="145" s="29" customFormat="1" ht="17.100000000000001" customHeight="1"/>
    <row r="146" s="29" customFormat="1" ht="17.100000000000001" customHeight="1"/>
    <row r="147" s="29" customFormat="1" ht="17.100000000000001" customHeight="1"/>
    <row r="148" s="29" customFormat="1" ht="17.100000000000001" customHeight="1"/>
    <row r="149" s="29" customFormat="1" ht="17.100000000000001" customHeight="1"/>
    <row r="150" s="29" customFormat="1" ht="17.100000000000001" customHeight="1"/>
    <row r="151" s="29" customFormat="1" ht="17.100000000000001" customHeight="1"/>
    <row r="152" s="29" customFormat="1" ht="17.100000000000001" customHeight="1"/>
    <row r="153" s="29" customFormat="1" ht="17.100000000000001" customHeight="1"/>
    <row r="154" s="29" customFormat="1" ht="17.100000000000001" customHeight="1"/>
    <row r="155" s="29" customFormat="1" ht="17.100000000000001" customHeight="1"/>
    <row r="156" s="29" customFormat="1" ht="17.100000000000001" customHeight="1"/>
    <row r="157" s="29" customFormat="1" ht="17.100000000000001" customHeight="1"/>
    <row r="158" s="29" customFormat="1" ht="17.100000000000001" customHeight="1"/>
    <row r="159" s="29" customFormat="1" ht="17.100000000000001" customHeight="1"/>
    <row r="160" s="29" customFormat="1" ht="17.100000000000001" customHeight="1"/>
    <row r="161" s="29" customFormat="1" ht="17.100000000000001" customHeight="1"/>
    <row r="162" s="29" customFormat="1" ht="17.100000000000001" customHeight="1"/>
    <row r="163" s="29" customFormat="1" ht="17.100000000000001" customHeight="1"/>
    <row r="164" s="29" customFormat="1" ht="17.100000000000001" customHeight="1"/>
    <row r="165" s="29" customFormat="1" ht="17.100000000000001" customHeight="1"/>
    <row r="166" s="29" customFormat="1" ht="17.100000000000001" customHeight="1"/>
    <row r="167" s="29" customFormat="1" ht="17.100000000000001" customHeight="1"/>
    <row r="168" s="29" customFormat="1" ht="17.100000000000001" customHeight="1"/>
    <row r="169" s="29" customFormat="1" ht="17.100000000000001" customHeight="1"/>
    <row r="170" s="29" customFormat="1" ht="17.100000000000001" customHeight="1"/>
    <row r="171" s="29" customFormat="1" ht="17.100000000000001" customHeight="1"/>
    <row r="172" s="29" customFormat="1" ht="17.100000000000001" customHeight="1"/>
    <row r="173" s="29" customFormat="1" ht="17.100000000000001" customHeight="1"/>
    <row r="174" s="29" customFormat="1" ht="17.100000000000001" customHeight="1"/>
    <row r="175" s="29" customFormat="1" ht="17.100000000000001" customHeight="1"/>
    <row r="176" s="29" customFormat="1" ht="17.100000000000001" customHeight="1"/>
    <row r="177" s="29" customFormat="1" ht="17.100000000000001" customHeight="1"/>
    <row r="178" s="29" customFormat="1" ht="17.100000000000001" customHeight="1"/>
    <row r="179" s="29" customFormat="1" ht="17.100000000000001" customHeight="1"/>
    <row r="180" s="29" customFormat="1" ht="17.100000000000001" customHeight="1"/>
    <row r="181" s="29" customFormat="1" ht="17.100000000000001" customHeight="1"/>
    <row r="182" s="29" customFormat="1" ht="17.100000000000001" customHeight="1"/>
    <row r="183" s="29" customFormat="1" ht="17.100000000000001" customHeight="1"/>
    <row r="184" s="29" customFormat="1" ht="17.100000000000001" customHeight="1"/>
    <row r="185" s="29" customFormat="1" ht="17.100000000000001" customHeight="1"/>
    <row r="186" s="29" customFormat="1" ht="17.100000000000001" customHeight="1"/>
    <row r="187" s="29" customFormat="1" ht="17.100000000000001" customHeight="1"/>
    <row r="188" s="29" customFormat="1" ht="17.100000000000001" customHeight="1"/>
    <row r="189" s="29" customFormat="1" ht="17.100000000000001" customHeight="1"/>
    <row r="190" s="29" customFormat="1" ht="17.100000000000001" customHeight="1"/>
    <row r="191" s="29" customFormat="1" ht="17.100000000000001" customHeight="1"/>
    <row r="192" s="29" customFormat="1" ht="17.100000000000001" customHeight="1"/>
    <row r="193" s="29" customFormat="1" ht="17.100000000000001" customHeight="1"/>
    <row r="194" s="29" customFormat="1" ht="17.100000000000001" customHeight="1"/>
    <row r="195" s="29" customFormat="1" ht="17.100000000000001" customHeight="1"/>
    <row r="196" s="29" customFormat="1" ht="17.100000000000001" customHeight="1"/>
    <row r="197" s="29" customFormat="1" ht="17.100000000000001" customHeight="1"/>
    <row r="198" s="29" customFormat="1" ht="17.100000000000001" customHeight="1"/>
    <row r="199" s="29" customFormat="1" ht="17.100000000000001" customHeight="1"/>
    <row r="200" s="29" customFormat="1" ht="17.100000000000001" customHeight="1"/>
    <row r="201" s="29" customFormat="1" ht="17.100000000000001" customHeight="1"/>
    <row r="202" s="29" customFormat="1" ht="17.100000000000001" customHeight="1"/>
    <row r="203" s="29" customFormat="1" ht="17.100000000000001" customHeight="1"/>
    <row r="204" s="29" customFormat="1" ht="17.100000000000001" customHeight="1"/>
    <row r="205" s="29" customFormat="1" ht="17.100000000000001" customHeight="1"/>
    <row r="206" s="29" customFormat="1" ht="17.100000000000001" customHeight="1"/>
    <row r="207" s="29" customFormat="1" ht="17.100000000000001" customHeight="1"/>
    <row r="208" s="29" customFormat="1" ht="17.100000000000001" customHeight="1"/>
    <row r="209" s="29" customFormat="1" ht="17.100000000000001" customHeight="1"/>
    <row r="210" s="29" customFormat="1" ht="17.100000000000001" customHeight="1"/>
    <row r="211" s="29" customFormat="1" ht="17.100000000000001" customHeight="1"/>
    <row r="212" s="29" customFormat="1" ht="17.100000000000001" customHeight="1"/>
    <row r="213" s="29" customFormat="1" ht="17.100000000000001" customHeight="1"/>
    <row r="214" s="29" customFormat="1" ht="17.100000000000001" customHeight="1"/>
    <row r="215" s="29" customFormat="1" ht="17.100000000000001" customHeight="1"/>
    <row r="216" s="29" customFormat="1" ht="17.100000000000001" customHeight="1"/>
    <row r="217" s="29" customFormat="1" ht="17.100000000000001" customHeight="1"/>
    <row r="218" s="29" customFormat="1" ht="17.100000000000001" customHeight="1"/>
    <row r="219" s="29" customFormat="1" ht="17.100000000000001" customHeight="1"/>
    <row r="220" s="29" customFormat="1" ht="17.100000000000001" customHeight="1"/>
    <row r="221" s="29" customFormat="1" ht="17.100000000000001" customHeight="1"/>
    <row r="222" s="29" customFormat="1" ht="17.100000000000001" customHeight="1"/>
    <row r="223" s="29" customFormat="1" ht="17.100000000000001" customHeight="1"/>
    <row r="224" s="29" customFormat="1" ht="17.100000000000001" customHeight="1"/>
    <row r="225" s="29" customFormat="1" ht="17.100000000000001" customHeight="1"/>
    <row r="226" s="29" customFormat="1" ht="17.100000000000001" customHeight="1"/>
    <row r="227" s="29" customFormat="1" ht="17.100000000000001" customHeight="1"/>
    <row r="228" s="29" customFormat="1" ht="17.100000000000001" customHeight="1"/>
    <row r="229" s="29" customFormat="1" ht="17.100000000000001" customHeight="1"/>
    <row r="230" s="29" customFormat="1" ht="17.100000000000001" customHeight="1"/>
    <row r="231" s="29" customFormat="1" ht="17.100000000000001" customHeight="1"/>
    <row r="232" s="29" customFormat="1" ht="17.100000000000001" customHeight="1"/>
    <row r="233" s="29" customFormat="1" ht="17.100000000000001" customHeight="1"/>
    <row r="234" s="29" customFormat="1" ht="17.100000000000001" customHeight="1"/>
    <row r="235" s="29" customFormat="1" ht="17.100000000000001" customHeight="1"/>
    <row r="236" s="29" customFormat="1" ht="17.100000000000001" customHeight="1"/>
    <row r="237" s="29" customFormat="1" ht="17.100000000000001" customHeight="1"/>
    <row r="238" s="29" customFormat="1" ht="17.100000000000001" customHeight="1"/>
    <row r="239" s="29" customFormat="1" ht="17.100000000000001" customHeight="1"/>
    <row r="240" s="29" customFormat="1" ht="17.100000000000001" customHeight="1"/>
    <row r="241" s="29" customFormat="1" ht="17.100000000000001" customHeight="1"/>
    <row r="242" s="29" customFormat="1" ht="17.100000000000001" customHeight="1"/>
    <row r="243" s="29" customFormat="1" ht="17.100000000000001" customHeight="1"/>
    <row r="244" s="29" customFormat="1" ht="17.100000000000001" customHeight="1"/>
    <row r="245" s="29" customFormat="1" ht="17.100000000000001" customHeight="1"/>
    <row r="246" s="29" customFormat="1" ht="17.100000000000001" customHeight="1"/>
    <row r="247" s="29" customFormat="1" ht="17.100000000000001" customHeight="1"/>
    <row r="248" s="29" customFormat="1" ht="17.100000000000001" customHeight="1"/>
    <row r="249" s="29" customFormat="1" ht="17.100000000000001" customHeight="1"/>
    <row r="250" s="29" customFormat="1" ht="17.100000000000001" customHeight="1"/>
    <row r="251" s="29" customFormat="1" ht="17.100000000000001" customHeight="1"/>
    <row r="252" s="29" customFormat="1" ht="17.100000000000001" customHeight="1"/>
    <row r="253" s="29" customFormat="1" ht="17.100000000000001" customHeight="1"/>
    <row r="254" s="29" customFormat="1" ht="17.100000000000001" customHeight="1"/>
    <row r="255" s="29" customFormat="1" ht="17.100000000000001" customHeight="1"/>
    <row r="256" s="29" customFormat="1" ht="17.100000000000001" customHeight="1"/>
    <row r="257" s="29" customFormat="1" ht="17.100000000000001" customHeight="1"/>
    <row r="258" s="29" customFormat="1" ht="17.100000000000001" customHeight="1"/>
    <row r="259" s="29" customFormat="1" ht="17.100000000000001" customHeight="1"/>
    <row r="260" s="29" customFormat="1" ht="17.100000000000001" customHeight="1"/>
    <row r="261" s="29" customFormat="1" ht="17.100000000000001" customHeight="1"/>
    <row r="262" s="29" customFormat="1" ht="17.100000000000001" customHeight="1"/>
    <row r="263" s="29" customFormat="1" ht="17.100000000000001" customHeight="1"/>
    <row r="264" s="29" customFormat="1" ht="17.100000000000001" customHeight="1"/>
    <row r="265" s="29" customFormat="1" ht="17.100000000000001" customHeight="1"/>
    <row r="266" s="29" customFormat="1" ht="17.100000000000001" customHeight="1"/>
    <row r="267" s="29" customFormat="1" ht="17.100000000000001" customHeight="1"/>
    <row r="268" s="29" customFormat="1" ht="17.100000000000001" customHeight="1"/>
    <row r="269" s="29" customFormat="1" ht="17.100000000000001" customHeight="1"/>
    <row r="270" s="29" customFormat="1" ht="17.100000000000001" customHeight="1"/>
    <row r="271" s="29" customFormat="1" ht="17.100000000000001" customHeight="1"/>
    <row r="272" s="29" customFormat="1" ht="17.100000000000001" customHeight="1"/>
    <row r="273" s="29" customFormat="1" ht="17.100000000000001" customHeight="1"/>
    <row r="274" s="29" customFormat="1" ht="17.100000000000001" customHeight="1"/>
    <row r="275" s="29" customFormat="1" ht="17.100000000000001" customHeight="1"/>
    <row r="276" s="29" customFormat="1" ht="17.100000000000001" customHeight="1"/>
    <row r="277" s="29" customFormat="1" ht="17.100000000000001" customHeight="1"/>
    <row r="278" s="29" customFormat="1" ht="17.100000000000001" customHeight="1"/>
    <row r="279" s="29" customFormat="1" ht="17.100000000000001" customHeight="1"/>
    <row r="280" s="29" customFormat="1" ht="17.100000000000001" customHeight="1"/>
    <row r="281" s="29" customFormat="1" ht="17.100000000000001" customHeight="1"/>
    <row r="282" s="29" customFormat="1" ht="17.100000000000001" customHeight="1"/>
    <row r="283" s="29" customFormat="1" ht="17.100000000000001" customHeight="1"/>
    <row r="284" s="29" customFormat="1" ht="17.100000000000001" customHeight="1"/>
    <row r="285" s="29" customFormat="1" ht="17.100000000000001" customHeight="1"/>
    <row r="286" s="29" customFormat="1" ht="17.100000000000001" customHeight="1"/>
    <row r="287" s="29" customFormat="1" ht="17.100000000000001" customHeight="1"/>
    <row r="288" s="29" customFormat="1" ht="17.100000000000001" customHeight="1"/>
    <row r="289" s="29" customFormat="1" ht="17.100000000000001" customHeight="1"/>
    <row r="290" s="29" customFormat="1" ht="17.100000000000001" customHeight="1"/>
    <row r="291" s="29" customFormat="1" ht="17.100000000000001" customHeight="1"/>
    <row r="292" s="29" customFormat="1" ht="17.100000000000001" customHeight="1"/>
    <row r="293" s="29" customFormat="1" ht="17.100000000000001" customHeight="1"/>
    <row r="294" s="29" customFormat="1" ht="17.100000000000001" customHeight="1"/>
    <row r="295" s="29" customFormat="1" ht="17.100000000000001" customHeight="1"/>
    <row r="296" s="29" customFormat="1" ht="17.100000000000001" customHeight="1"/>
    <row r="297" s="29" customFormat="1" ht="17.100000000000001" customHeight="1"/>
    <row r="298" s="29" customFormat="1" ht="17.100000000000001" customHeight="1"/>
    <row r="299" s="29" customFormat="1" ht="17.100000000000001" customHeight="1"/>
    <row r="300" s="29" customFormat="1" ht="17.100000000000001" customHeight="1"/>
    <row r="301" s="29" customFormat="1" ht="17.100000000000001" customHeight="1"/>
    <row r="302" s="29" customFormat="1" ht="17.100000000000001" customHeight="1"/>
    <row r="303" s="29" customFormat="1" ht="17.100000000000001" customHeight="1"/>
    <row r="304" s="29" customFormat="1" ht="17.100000000000001" customHeight="1"/>
    <row r="305" s="29" customFormat="1" ht="17.100000000000001" customHeight="1"/>
    <row r="306" s="29" customFormat="1" ht="17.100000000000001" customHeight="1"/>
    <row r="307" s="29" customFormat="1" ht="17.100000000000001" customHeight="1"/>
    <row r="308" s="29" customFormat="1" ht="17.100000000000001" customHeight="1"/>
    <row r="309" s="29" customFormat="1" ht="17.100000000000001" customHeight="1"/>
    <row r="310" s="29" customFormat="1" ht="17.100000000000001" customHeight="1"/>
    <row r="311" s="29" customFormat="1" ht="17.100000000000001" customHeight="1"/>
    <row r="312" s="29" customFormat="1" ht="17.100000000000001" customHeight="1"/>
    <row r="313" s="29" customFormat="1" ht="17.100000000000001" customHeight="1"/>
    <row r="314" s="29" customFormat="1" ht="17.100000000000001" customHeight="1"/>
    <row r="315" s="29" customFormat="1" ht="17.100000000000001" customHeight="1"/>
    <row r="316" s="29" customFormat="1" ht="17.100000000000001" customHeight="1"/>
    <row r="317" s="29" customFormat="1" ht="17.100000000000001" customHeight="1"/>
    <row r="318" s="29" customFormat="1" ht="17.100000000000001" customHeight="1"/>
    <row r="319" s="29" customFormat="1" ht="17.100000000000001" customHeight="1"/>
    <row r="320" s="29" customFormat="1" ht="17.100000000000001" customHeight="1"/>
    <row r="321" s="29" customFormat="1" ht="17.100000000000001" customHeight="1"/>
    <row r="322" s="29" customFormat="1" ht="17.100000000000001" customHeight="1"/>
    <row r="323" s="29" customFormat="1" ht="17.100000000000001" customHeight="1"/>
    <row r="324" s="29" customFormat="1" ht="17.100000000000001" customHeight="1"/>
    <row r="325" s="29" customFormat="1" ht="17.100000000000001" customHeight="1"/>
    <row r="326" s="29" customFormat="1" ht="17.100000000000001" customHeight="1"/>
    <row r="327" s="29" customFormat="1" ht="17.100000000000001" customHeight="1"/>
    <row r="328" s="29" customFormat="1" ht="17.100000000000001" customHeight="1"/>
    <row r="329" s="29" customFormat="1" ht="17.100000000000001" customHeight="1"/>
    <row r="330" s="29" customFormat="1" ht="17.100000000000001" customHeight="1"/>
    <row r="331" s="29" customFormat="1" ht="17.100000000000001" customHeight="1"/>
    <row r="332" s="29" customFormat="1" ht="17.100000000000001" customHeight="1"/>
    <row r="333" s="29" customFormat="1" ht="17.100000000000001" customHeight="1"/>
    <row r="334" s="29" customFormat="1" ht="17.100000000000001" customHeight="1"/>
    <row r="335" s="29" customFormat="1" ht="17.100000000000001" customHeight="1"/>
    <row r="336" s="29" customFormat="1" ht="17.100000000000001" customHeight="1"/>
    <row r="337" s="29" customFormat="1" ht="17.100000000000001" customHeight="1"/>
    <row r="338" s="29" customFormat="1" ht="17.100000000000001" customHeight="1"/>
    <row r="339" s="29" customFormat="1" ht="17.100000000000001" customHeight="1"/>
    <row r="340" s="29" customFormat="1" ht="17.100000000000001" customHeight="1"/>
    <row r="341" s="29" customFormat="1" ht="17.100000000000001" customHeight="1"/>
    <row r="342" s="29" customFormat="1" ht="17.100000000000001" customHeight="1"/>
    <row r="343" s="29" customFormat="1" ht="17.100000000000001" customHeight="1"/>
    <row r="344" s="29" customFormat="1" ht="17.100000000000001" customHeight="1"/>
    <row r="345" s="29" customFormat="1" ht="17.100000000000001" customHeight="1"/>
    <row r="346" s="29" customFormat="1" ht="17.100000000000001" customHeight="1"/>
    <row r="347" s="29" customFormat="1" ht="17.100000000000001" customHeight="1"/>
    <row r="348" s="29" customFormat="1" ht="17.100000000000001" customHeight="1"/>
    <row r="349" s="29" customFormat="1" ht="17.100000000000001" customHeight="1"/>
    <row r="350" s="29" customFormat="1" ht="17.100000000000001" customHeight="1"/>
    <row r="351" s="29" customFormat="1" ht="17.100000000000001" customHeight="1"/>
    <row r="352" s="29" customFormat="1" ht="17.100000000000001" customHeight="1"/>
    <row r="353" s="29" customFormat="1" ht="17.100000000000001" customHeight="1"/>
    <row r="354" s="29" customFormat="1" ht="17.100000000000001" customHeight="1"/>
    <row r="355" s="29" customFormat="1" ht="17.100000000000001" customHeight="1"/>
    <row r="356" s="29" customFormat="1" ht="17.100000000000001" customHeight="1"/>
    <row r="357" s="29" customFormat="1" ht="17.100000000000001" customHeight="1"/>
    <row r="358" s="29" customFormat="1" ht="17.100000000000001" customHeight="1"/>
    <row r="359" s="29" customFormat="1" ht="17.100000000000001" customHeight="1"/>
    <row r="360" s="29" customFormat="1" ht="17.100000000000001" customHeight="1"/>
    <row r="361" s="29" customFormat="1" ht="17.100000000000001" customHeight="1"/>
    <row r="362" s="29" customFormat="1" ht="17.100000000000001" customHeight="1"/>
    <row r="363" s="29" customFormat="1" ht="17.100000000000001" customHeight="1"/>
    <row r="364" s="29" customFormat="1" ht="17.100000000000001" customHeight="1"/>
    <row r="365" s="29" customFormat="1" ht="17.100000000000001" customHeight="1"/>
    <row r="366" s="29" customFormat="1" ht="17.100000000000001" customHeight="1"/>
    <row r="367" s="29" customFormat="1" ht="17.100000000000001" customHeight="1"/>
    <row r="368" s="29" customFormat="1" ht="17.100000000000001" customHeight="1"/>
    <row r="369" s="29" customFormat="1" ht="17.100000000000001" customHeight="1"/>
    <row r="370" s="29" customFormat="1" ht="17.100000000000001" customHeight="1"/>
    <row r="371" s="29" customFormat="1" ht="17.100000000000001" customHeight="1"/>
    <row r="372" s="29" customFormat="1" ht="17.100000000000001" customHeight="1"/>
    <row r="373" s="29" customFormat="1" ht="17.100000000000001" customHeight="1"/>
    <row r="374" s="29" customFormat="1" ht="17.100000000000001" customHeight="1"/>
    <row r="375" s="29" customFormat="1" ht="17.100000000000001" customHeight="1"/>
    <row r="376" s="29" customFormat="1" ht="17.100000000000001" customHeight="1"/>
    <row r="377" s="29" customFormat="1" ht="17.100000000000001" customHeight="1"/>
    <row r="378" s="29" customFormat="1" ht="17.100000000000001" customHeight="1"/>
    <row r="379" s="29" customFormat="1" ht="17.100000000000001" customHeight="1"/>
    <row r="380" s="29" customFormat="1" ht="17.100000000000001" customHeight="1"/>
    <row r="381" s="29" customFormat="1" ht="17.100000000000001" customHeight="1"/>
    <row r="382" s="29" customFormat="1" ht="17.100000000000001" customHeight="1"/>
    <row r="383" s="29" customFormat="1" ht="17.100000000000001" customHeight="1"/>
    <row r="384" s="29" customFormat="1" ht="17.100000000000001" customHeight="1"/>
    <row r="385" s="29" customFormat="1" ht="17.100000000000001" customHeight="1"/>
    <row r="386" s="29" customFormat="1" ht="17.100000000000001" customHeight="1"/>
    <row r="387" s="29" customFormat="1" ht="17.100000000000001" customHeight="1"/>
    <row r="388" s="29" customFormat="1" ht="17.100000000000001" customHeight="1"/>
    <row r="389" s="29" customFormat="1" ht="17.100000000000001" customHeight="1"/>
    <row r="390" s="29" customFormat="1" ht="17.100000000000001" customHeight="1"/>
    <row r="391" s="29" customFormat="1" ht="17.100000000000001" customHeight="1"/>
    <row r="392" s="29" customFormat="1" ht="17.100000000000001" customHeight="1"/>
    <row r="393" s="29" customFormat="1" ht="17.100000000000001" customHeight="1"/>
    <row r="394" s="29" customFormat="1" ht="17.100000000000001" customHeight="1"/>
    <row r="395" s="29" customFormat="1" ht="17.100000000000001" customHeight="1"/>
    <row r="396" s="29" customFormat="1" ht="17.100000000000001" customHeight="1"/>
    <row r="397" s="29" customFormat="1" ht="17.100000000000001" customHeight="1"/>
    <row r="398" s="29" customFormat="1" ht="17.100000000000001" customHeight="1"/>
    <row r="399" s="29" customFormat="1" ht="17.100000000000001" customHeight="1"/>
    <row r="400" s="29" customFormat="1" ht="17.100000000000001" customHeight="1"/>
    <row r="401" s="29" customFormat="1" ht="17.100000000000001" customHeight="1"/>
    <row r="402" s="29" customFormat="1" ht="17.100000000000001" customHeight="1"/>
    <row r="403" s="29" customFormat="1" ht="17.100000000000001" customHeight="1"/>
    <row r="404" s="29" customFormat="1" ht="17.100000000000001" customHeight="1"/>
    <row r="405" s="29" customFormat="1" ht="17.100000000000001" customHeight="1"/>
    <row r="406" s="29" customFormat="1" ht="17.100000000000001" customHeight="1"/>
    <row r="407" s="29" customFormat="1" ht="17.100000000000001" customHeight="1"/>
    <row r="408" s="29" customFormat="1" ht="17.100000000000001" customHeight="1"/>
    <row r="409" s="29" customFormat="1" ht="17.100000000000001" customHeight="1"/>
    <row r="410" s="29" customFormat="1" ht="17.100000000000001" customHeight="1"/>
    <row r="411" s="29" customFormat="1" ht="17.100000000000001" customHeight="1"/>
    <row r="412" s="29" customFormat="1" ht="17.100000000000001" customHeight="1"/>
    <row r="413" s="29" customFormat="1" ht="17.100000000000001" customHeight="1"/>
    <row r="414" s="29" customFormat="1" ht="17.100000000000001" customHeight="1"/>
    <row r="415" s="29" customFormat="1" ht="17.100000000000001" customHeight="1"/>
    <row r="416" s="29" customFormat="1" ht="17.100000000000001" customHeight="1"/>
    <row r="417" s="29" customFormat="1" ht="17.100000000000001" customHeight="1"/>
    <row r="418" s="29" customFormat="1" ht="17.100000000000001" customHeight="1"/>
    <row r="419" s="29" customFormat="1" ht="17.100000000000001" customHeight="1"/>
    <row r="420" s="29" customFormat="1" ht="17.100000000000001" customHeight="1"/>
    <row r="421" s="29" customFormat="1" ht="17.100000000000001" customHeight="1"/>
    <row r="422" s="29" customFormat="1" ht="17.100000000000001" customHeight="1"/>
    <row r="423" s="29" customFormat="1" ht="17.100000000000001" customHeight="1"/>
    <row r="424" s="29" customFormat="1" ht="17.100000000000001" customHeight="1"/>
    <row r="425" s="29" customFormat="1" ht="17.100000000000001" customHeight="1"/>
    <row r="426" s="29" customFormat="1" ht="17.100000000000001" customHeight="1"/>
    <row r="427" s="29" customFormat="1" ht="17.100000000000001" customHeight="1"/>
    <row r="428" s="29" customFormat="1" ht="17.100000000000001" customHeight="1"/>
    <row r="429" s="29" customFormat="1" ht="17.100000000000001" customHeight="1"/>
    <row r="430" s="29" customFormat="1" ht="17.100000000000001" customHeight="1"/>
    <row r="431" s="29" customFormat="1" ht="17.100000000000001" customHeight="1"/>
    <row r="432" s="29" customFormat="1" ht="17.100000000000001" customHeight="1"/>
    <row r="433" s="29" customFormat="1" ht="17.100000000000001" customHeight="1"/>
    <row r="434" s="29" customFormat="1" ht="17.100000000000001" customHeight="1"/>
    <row r="435" s="29" customFormat="1" ht="17.100000000000001" customHeight="1"/>
    <row r="436" s="29" customFormat="1" ht="17.100000000000001" customHeight="1"/>
    <row r="437" s="29" customFormat="1" ht="17.100000000000001" customHeight="1"/>
    <row r="438" s="29" customFormat="1" ht="17.100000000000001" customHeight="1"/>
    <row r="439" s="29" customFormat="1" ht="17.100000000000001" customHeight="1"/>
    <row r="440" s="29" customFormat="1" ht="17.100000000000001" customHeight="1"/>
    <row r="441" s="29" customFormat="1" ht="17.100000000000001" customHeight="1"/>
    <row r="442" s="29" customFormat="1" ht="17.100000000000001" customHeight="1"/>
    <row r="443" s="29" customFormat="1" ht="17.100000000000001" customHeight="1"/>
    <row r="444" s="29" customFormat="1" ht="17.100000000000001" customHeight="1"/>
    <row r="445" s="29" customFormat="1" ht="17.100000000000001" customHeight="1"/>
    <row r="446" s="29" customFormat="1" ht="17.100000000000001" customHeight="1"/>
    <row r="447" s="29" customFormat="1" ht="17.100000000000001" customHeight="1"/>
    <row r="448" s="29" customFormat="1" ht="17.100000000000001" customHeight="1"/>
    <row r="449" s="29" customFormat="1" ht="17.100000000000001" customHeight="1"/>
    <row r="450" s="29" customFormat="1" ht="17.100000000000001" customHeight="1"/>
    <row r="451" s="29" customFormat="1" ht="17.100000000000001" customHeight="1"/>
    <row r="452" s="29" customFormat="1" ht="17.100000000000001" customHeight="1"/>
    <row r="453" s="29" customFormat="1" ht="17.100000000000001" customHeight="1"/>
    <row r="454" s="29" customFormat="1" ht="17.100000000000001" customHeight="1"/>
    <row r="455" s="29" customFormat="1" ht="17.100000000000001" customHeight="1"/>
    <row r="456" s="29" customFormat="1" ht="17.100000000000001" customHeight="1"/>
    <row r="457" s="29" customFormat="1" ht="17.100000000000001" customHeight="1"/>
    <row r="458" s="29" customFormat="1" ht="17.100000000000001" customHeight="1"/>
    <row r="459" s="29" customFormat="1" ht="17.100000000000001" customHeight="1"/>
    <row r="460" s="29" customFormat="1" ht="17.100000000000001" customHeight="1"/>
    <row r="461" s="29" customFormat="1" ht="17.100000000000001" customHeight="1"/>
    <row r="462" s="29" customFormat="1" ht="17.100000000000001" customHeight="1"/>
    <row r="463" s="29" customFormat="1" ht="17.100000000000001" customHeight="1"/>
    <row r="464" s="29" customFormat="1" ht="17.100000000000001" customHeight="1"/>
    <row r="465" s="29" customFormat="1" ht="17.100000000000001" customHeight="1"/>
    <row r="466" s="29" customFormat="1" ht="17.100000000000001" customHeight="1"/>
    <row r="467" s="29" customFormat="1" ht="17.100000000000001" customHeight="1"/>
    <row r="468" s="29" customFormat="1" ht="17.100000000000001" customHeight="1"/>
    <row r="469" s="29" customFormat="1" ht="17.100000000000001" customHeight="1"/>
    <row r="470" s="29" customFormat="1" ht="17.100000000000001" customHeight="1"/>
    <row r="471" s="29" customFormat="1" ht="17.100000000000001" customHeight="1"/>
    <row r="472" s="29" customFormat="1" ht="17.100000000000001" customHeight="1"/>
    <row r="473" s="29" customFormat="1" ht="17.100000000000001" customHeight="1"/>
    <row r="474" s="29" customFormat="1" ht="17.100000000000001" customHeight="1"/>
    <row r="475" s="29" customFormat="1" ht="17.100000000000001" customHeight="1"/>
    <row r="476" s="29" customFormat="1" ht="17.100000000000001" customHeight="1"/>
    <row r="477" s="29" customFormat="1" ht="17.100000000000001" customHeight="1"/>
    <row r="478" s="29" customFormat="1" ht="17.100000000000001" customHeight="1"/>
    <row r="479" s="29" customFormat="1" ht="17.100000000000001" customHeight="1"/>
    <row r="480" s="29" customFormat="1" ht="17.100000000000001" customHeight="1"/>
    <row r="481" s="29" customFormat="1" ht="17.100000000000001" customHeight="1"/>
    <row r="482" s="29" customFormat="1" ht="17.100000000000001" customHeight="1"/>
    <row r="483" s="29" customFormat="1" ht="17.100000000000001" customHeight="1"/>
    <row r="484" s="29" customFormat="1" ht="17.100000000000001" customHeight="1"/>
    <row r="485" s="29" customFormat="1" ht="17.100000000000001" customHeight="1"/>
    <row r="486" s="29" customFormat="1" ht="17.100000000000001" customHeight="1"/>
    <row r="487" s="29" customFormat="1" ht="17.100000000000001" customHeight="1"/>
    <row r="488" s="29" customFormat="1" ht="17.100000000000001" customHeight="1"/>
    <row r="489" s="29" customFormat="1" ht="17.100000000000001" customHeight="1"/>
    <row r="490" s="29" customFormat="1" ht="17.100000000000001" customHeight="1"/>
    <row r="491" s="29" customFormat="1" ht="17.100000000000001" customHeight="1"/>
    <row r="492" s="29" customFormat="1" ht="17.100000000000001" customHeight="1"/>
    <row r="493" s="29" customFormat="1" ht="17.100000000000001" customHeight="1"/>
    <row r="494" s="29" customFormat="1" ht="17.100000000000001" customHeight="1"/>
    <row r="495" s="29" customFormat="1" ht="17.100000000000001" customHeight="1"/>
    <row r="496" s="29" customFormat="1" ht="17.100000000000001" customHeight="1"/>
    <row r="497" s="29" customFormat="1" ht="17.100000000000001" customHeight="1"/>
    <row r="498" s="29" customFormat="1" ht="17.100000000000001" customHeight="1"/>
    <row r="499" s="29" customFormat="1" ht="17.100000000000001" customHeight="1"/>
    <row r="500" s="29" customFormat="1" ht="17.100000000000001" customHeight="1"/>
    <row r="501" s="29" customFormat="1" ht="17.100000000000001" customHeight="1"/>
    <row r="502" s="29" customFormat="1" ht="17.100000000000001" customHeight="1"/>
    <row r="503" s="29" customFormat="1" ht="17.100000000000001" customHeight="1"/>
    <row r="504" s="29" customFormat="1" ht="17.100000000000001" customHeight="1"/>
    <row r="505" s="29" customFormat="1" ht="17.100000000000001" customHeight="1"/>
    <row r="506" s="29" customFormat="1" ht="17.100000000000001" customHeight="1"/>
    <row r="507" s="29" customFormat="1" ht="17.100000000000001" customHeight="1"/>
    <row r="508" s="29" customFormat="1" ht="17.100000000000001" customHeight="1"/>
    <row r="509" s="29" customFormat="1" ht="17.100000000000001" customHeight="1"/>
    <row r="510" s="29" customFormat="1" ht="17.100000000000001" customHeight="1"/>
    <row r="511" s="29" customFormat="1" ht="17.100000000000001" customHeight="1"/>
    <row r="512" s="29" customFormat="1" ht="17.100000000000001" customHeight="1"/>
    <row r="513" s="29" customFormat="1" ht="17.100000000000001" customHeight="1"/>
    <row r="514" s="29" customFormat="1" ht="17.100000000000001" customHeight="1"/>
    <row r="515" s="29" customFormat="1" ht="17.100000000000001" customHeight="1"/>
    <row r="516" s="29" customFormat="1" ht="17.100000000000001" customHeight="1"/>
    <row r="517" s="29" customFormat="1" ht="17.100000000000001" customHeight="1"/>
    <row r="518" s="29" customFormat="1" ht="17.100000000000001" customHeight="1"/>
    <row r="519" s="29" customFormat="1" ht="17.100000000000001" customHeight="1"/>
    <row r="520" s="29" customFormat="1" ht="17.100000000000001" customHeight="1"/>
    <row r="521" s="29" customFormat="1" ht="17.100000000000001" customHeight="1"/>
    <row r="522" s="29" customFormat="1" ht="17.100000000000001" customHeight="1"/>
    <row r="523" s="29" customFormat="1" ht="17.100000000000001" customHeight="1"/>
    <row r="524" s="29" customFormat="1" ht="17.100000000000001" customHeight="1"/>
    <row r="525" s="29" customFormat="1" ht="17.100000000000001" customHeight="1"/>
    <row r="526" s="29" customFormat="1" ht="17.100000000000001" customHeight="1"/>
    <row r="527" s="29" customFormat="1" ht="17.100000000000001" customHeight="1"/>
    <row r="528" s="29" customFormat="1" ht="17.100000000000001" customHeight="1"/>
    <row r="529" s="29" customFormat="1" ht="17.100000000000001" customHeight="1"/>
    <row r="530" s="29" customFormat="1" ht="17.100000000000001" customHeight="1"/>
    <row r="531" s="29" customFormat="1" ht="17.100000000000001" customHeight="1"/>
    <row r="532" s="29" customFormat="1" ht="17.100000000000001" customHeight="1"/>
    <row r="533" s="29" customFormat="1" ht="17.100000000000001" customHeight="1"/>
    <row r="534" s="29" customFormat="1" ht="17.100000000000001" customHeight="1"/>
    <row r="535" s="29" customFormat="1" ht="17.100000000000001" customHeight="1"/>
    <row r="536" s="29" customFormat="1" ht="17.100000000000001" customHeight="1"/>
    <row r="537" s="29" customFormat="1" ht="17.100000000000001" customHeight="1"/>
    <row r="538" s="29" customFormat="1" ht="17.100000000000001" customHeight="1"/>
    <row r="539" s="29" customFormat="1" ht="17.100000000000001" customHeight="1"/>
    <row r="540" s="29" customFormat="1" ht="17.100000000000001" customHeight="1"/>
    <row r="541" s="29" customFormat="1" ht="17.100000000000001" customHeight="1"/>
    <row r="542" s="29" customFormat="1" ht="17.100000000000001" customHeight="1"/>
    <row r="543" s="29" customFormat="1" ht="17.100000000000001" customHeight="1"/>
    <row r="544" s="29" customFormat="1" ht="17.100000000000001" customHeight="1"/>
    <row r="545" s="29" customFormat="1" ht="17.100000000000001" customHeight="1"/>
    <row r="546" s="29" customFormat="1" ht="17.100000000000001" customHeight="1"/>
    <row r="547" s="29" customFormat="1" ht="17.100000000000001" customHeight="1"/>
    <row r="548" s="29" customFormat="1" ht="17.100000000000001" customHeight="1"/>
    <row r="549" s="29" customFormat="1" ht="17.100000000000001" customHeight="1"/>
    <row r="550" s="29" customFormat="1" ht="17.100000000000001" customHeight="1"/>
    <row r="551" s="29" customFormat="1" ht="17.100000000000001" customHeight="1"/>
    <row r="552" s="29" customFormat="1" ht="17.100000000000001" customHeight="1"/>
    <row r="553" s="29" customFormat="1" ht="17.100000000000001" customHeight="1"/>
    <row r="554" s="29" customFormat="1" ht="17.100000000000001" customHeight="1"/>
    <row r="555" s="29" customFormat="1" ht="17.100000000000001" customHeight="1"/>
    <row r="556" s="29" customFormat="1" ht="17.100000000000001" customHeight="1"/>
    <row r="557" s="29" customFormat="1" ht="17.100000000000001" customHeight="1"/>
    <row r="558" s="29" customFormat="1" ht="17.100000000000001" customHeight="1"/>
    <row r="559" s="29" customFormat="1" ht="17.100000000000001" customHeight="1"/>
    <row r="560" s="29" customFormat="1" ht="17.100000000000001" customHeight="1"/>
    <row r="561" s="29" customFormat="1" ht="17.100000000000001" customHeight="1"/>
    <row r="562" s="29" customFormat="1" ht="17.100000000000001" customHeight="1"/>
    <row r="563" s="29" customFormat="1" ht="17.100000000000001" customHeight="1"/>
    <row r="564" s="29" customFormat="1" ht="17.100000000000001" customHeight="1"/>
    <row r="565" s="29" customFormat="1" ht="17.100000000000001" customHeight="1"/>
    <row r="566" s="29" customFormat="1" ht="17.100000000000001" customHeight="1"/>
    <row r="567" s="29" customFormat="1" ht="17.100000000000001" customHeight="1"/>
    <row r="568" s="29" customFormat="1" ht="17.100000000000001" customHeight="1"/>
    <row r="569" s="29" customFormat="1" ht="17.100000000000001" customHeight="1"/>
    <row r="570" s="29" customFormat="1" ht="17.100000000000001" customHeight="1"/>
    <row r="571" s="29" customFormat="1" ht="17.100000000000001" customHeight="1"/>
    <row r="572" s="29" customFormat="1" ht="17.100000000000001" customHeight="1"/>
    <row r="573" s="29" customFormat="1" ht="17.100000000000001" customHeight="1"/>
    <row r="574" s="29" customFormat="1" ht="17.100000000000001" customHeight="1"/>
    <row r="575" s="29" customFormat="1" ht="17.100000000000001" customHeight="1"/>
    <row r="576" s="29" customFormat="1" ht="17.100000000000001" customHeight="1"/>
    <row r="577" s="29" customFormat="1" ht="17.100000000000001" customHeight="1"/>
    <row r="578" s="29" customFormat="1" ht="17.100000000000001" customHeight="1"/>
    <row r="579" s="29" customFormat="1" ht="17.100000000000001" customHeight="1"/>
    <row r="580" s="29" customFormat="1" ht="17.100000000000001" customHeight="1"/>
    <row r="581" s="29" customFormat="1" ht="17.100000000000001" customHeight="1"/>
    <row r="582" s="29" customFormat="1" ht="17.100000000000001" customHeight="1"/>
    <row r="583" s="29" customFormat="1" ht="17.100000000000001" customHeight="1"/>
    <row r="584" s="29" customFormat="1" ht="17.100000000000001" customHeight="1"/>
    <row r="585" s="29" customFormat="1" ht="17.100000000000001" customHeight="1"/>
    <row r="586" s="29" customFormat="1" ht="17.100000000000001" customHeight="1"/>
    <row r="587" s="29" customFormat="1" ht="17.100000000000001" customHeight="1"/>
    <row r="588" s="29" customFormat="1" ht="17.100000000000001" customHeight="1"/>
    <row r="589" s="29" customFormat="1" ht="17.100000000000001" customHeight="1"/>
    <row r="590" s="29" customFormat="1" ht="17.100000000000001" customHeight="1"/>
    <row r="591" s="29" customFormat="1" ht="17.100000000000001" customHeight="1"/>
    <row r="592" s="29" customFormat="1" ht="17.100000000000001" customHeight="1"/>
    <row r="593" s="29" customFormat="1" ht="17.100000000000001" customHeight="1"/>
    <row r="594" s="29" customFormat="1" ht="17.100000000000001" customHeight="1"/>
    <row r="595" s="29" customFormat="1" ht="17.100000000000001" customHeight="1"/>
    <row r="596" s="29" customFormat="1" ht="17.100000000000001" customHeight="1"/>
    <row r="597" s="29" customFormat="1" ht="17.100000000000001" customHeight="1"/>
    <row r="598" s="29" customFormat="1" ht="17.100000000000001" customHeight="1"/>
    <row r="599" s="29" customFormat="1" ht="17.100000000000001" customHeight="1"/>
    <row r="600" s="29" customFormat="1" ht="17.100000000000001" customHeight="1"/>
    <row r="601" s="29" customFormat="1" ht="17.100000000000001" customHeight="1"/>
    <row r="602" s="29" customFormat="1" ht="17.100000000000001" customHeight="1"/>
    <row r="603" s="29" customFormat="1" ht="17.100000000000001" customHeight="1"/>
    <row r="604" s="29" customFormat="1" ht="17.100000000000001" customHeight="1"/>
    <row r="605" s="29" customFormat="1" ht="17.100000000000001" customHeight="1"/>
    <row r="606" s="29" customFormat="1" ht="17.100000000000001" customHeight="1"/>
    <row r="607" s="29" customFormat="1" ht="17.100000000000001" customHeight="1"/>
    <row r="608" s="29" customFormat="1" ht="17.100000000000001" customHeight="1"/>
    <row r="609" s="29" customFormat="1" ht="17.100000000000001" customHeight="1"/>
    <row r="610" s="29" customFormat="1" ht="17.100000000000001" customHeight="1"/>
    <row r="611" s="29" customFormat="1" ht="17.100000000000001" customHeight="1"/>
    <row r="612" s="29" customFormat="1" ht="17.100000000000001" customHeight="1"/>
    <row r="613" s="29" customFormat="1" ht="17.100000000000001" customHeight="1"/>
    <row r="614" s="29" customFormat="1" ht="17.100000000000001" customHeight="1"/>
    <row r="615" s="29" customFormat="1" ht="17.100000000000001" customHeight="1"/>
    <row r="616" s="29" customFormat="1" ht="17.100000000000001" customHeight="1"/>
    <row r="617" s="29" customFormat="1" ht="17.100000000000001" customHeight="1"/>
    <row r="618" s="29" customFormat="1" ht="17.100000000000001" customHeight="1"/>
    <row r="619" s="29" customFormat="1" ht="17.100000000000001" customHeight="1"/>
    <row r="620" s="29" customFormat="1" ht="17.100000000000001" customHeight="1"/>
    <row r="621" s="29" customFormat="1" ht="17.100000000000001" customHeight="1"/>
    <row r="622" s="29" customFormat="1" ht="17.100000000000001" customHeight="1"/>
    <row r="623" s="29" customFormat="1" ht="17.100000000000001" customHeight="1"/>
    <row r="624" s="29" customFormat="1" ht="17.100000000000001" customHeight="1"/>
    <row r="625" s="29" customFormat="1" ht="17.100000000000001" customHeight="1"/>
    <row r="626" s="29" customFormat="1" ht="17.100000000000001" customHeight="1"/>
    <row r="627" s="29" customFormat="1" ht="17.100000000000001" customHeight="1"/>
    <row r="628" s="29" customFormat="1" ht="17.100000000000001" customHeight="1"/>
    <row r="629" s="29" customFormat="1" ht="17.100000000000001" customHeight="1"/>
    <row r="630" s="29" customFormat="1" ht="17.100000000000001" customHeight="1"/>
    <row r="631" s="29" customFormat="1" ht="17.100000000000001" customHeight="1"/>
    <row r="632" s="29" customFormat="1" ht="17.100000000000001" customHeight="1"/>
    <row r="633" s="29" customFormat="1" ht="17.100000000000001" customHeight="1"/>
    <row r="634" s="29" customFormat="1" ht="17.100000000000001" customHeight="1"/>
    <row r="635" s="29" customFormat="1" ht="17.100000000000001" customHeight="1"/>
    <row r="636" s="29" customFormat="1" ht="17.100000000000001" customHeight="1"/>
    <row r="637" s="29" customFormat="1" ht="17.100000000000001" customHeight="1"/>
    <row r="638" s="29" customFormat="1" ht="17.100000000000001" customHeight="1"/>
    <row r="639" s="29" customFormat="1" ht="17.100000000000001" customHeight="1"/>
    <row r="640" s="29" customFormat="1" ht="17.100000000000001" customHeight="1"/>
    <row r="641" s="29" customFormat="1" ht="17.100000000000001" customHeight="1"/>
    <row r="642" s="29" customFormat="1" ht="17.100000000000001" customHeight="1"/>
    <row r="643" s="29" customFormat="1" ht="17.100000000000001" customHeight="1"/>
    <row r="644" s="29" customFormat="1" ht="17.100000000000001" customHeight="1"/>
    <row r="645" s="29" customFormat="1" ht="17.100000000000001" customHeight="1"/>
    <row r="646" s="29" customFormat="1" ht="17.100000000000001" customHeight="1"/>
    <row r="647" s="29" customFormat="1" ht="17.100000000000001" customHeight="1"/>
    <row r="648" s="29" customFormat="1" ht="17.100000000000001" customHeight="1"/>
    <row r="649" s="29" customFormat="1" ht="17.100000000000001" customHeight="1"/>
    <row r="650" s="29" customFormat="1" ht="17.100000000000001" customHeight="1"/>
    <row r="651" s="29" customFormat="1" ht="17.100000000000001" customHeight="1"/>
    <row r="652" s="29" customFormat="1" ht="17.100000000000001" customHeight="1"/>
    <row r="653" s="29" customFormat="1" ht="17.100000000000001" customHeight="1"/>
    <row r="654" s="29" customFormat="1" ht="17.100000000000001" customHeight="1"/>
    <row r="655" s="29" customFormat="1" ht="17.100000000000001" customHeight="1"/>
    <row r="656" s="29" customFormat="1" ht="17.100000000000001" customHeight="1"/>
    <row r="657" s="29" customFormat="1" ht="17.100000000000001" customHeight="1"/>
    <row r="658" s="29" customFormat="1" ht="17.100000000000001" customHeight="1"/>
    <row r="659" s="29" customFormat="1" ht="17.100000000000001" customHeight="1"/>
    <row r="660" s="29" customFormat="1" ht="17.100000000000001" customHeight="1"/>
    <row r="661" s="29" customFormat="1" ht="17.100000000000001" customHeight="1"/>
    <row r="662" s="29" customFormat="1" ht="17.100000000000001" customHeight="1"/>
    <row r="663" s="29" customFormat="1" ht="17.100000000000001" customHeight="1"/>
    <row r="664" s="29" customFormat="1" ht="17.100000000000001" customHeight="1"/>
    <row r="665" s="29" customFormat="1" ht="17.100000000000001" customHeight="1"/>
    <row r="666" s="29" customFormat="1" ht="17.100000000000001" customHeight="1"/>
    <row r="667" s="29" customFormat="1" ht="17.100000000000001" customHeight="1"/>
    <row r="668" s="29" customFormat="1" ht="17.100000000000001" customHeight="1"/>
    <row r="669" s="29" customFormat="1" ht="17.100000000000001" customHeight="1"/>
    <row r="670" s="29" customFormat="1" ht="17.100000000000001" customHeight="1"/>
    <row r="671" s="29" customFormat="1" ht="17.100000000000001" customHeight="1"/>
    <row r="672" s="29" customFormat="1" ht="17.100000000000001" customHeight="1"/>
    <row r="673" s="29" customFormat="1" ht="17.100000000000001" customHeight="1"/>
    <row r="674" s="29" customFormat="1" ht="17.100000000000001" customHeight="1"/>
    <row r="675" s="29" customFormat="1" ht="17.100000000000001" customHeight="1"/>
    <row r="676" s="29" customFormat="1" ht="17.100000000000001" customHeight="1"/>
    <row r="677" s="29" customFormat="1" ht="17.100000000000001" customHeight="1"/>
    <row r="678" s="29" customFormat="1" ht="17.100000000000001" customHeight="1"/>
    <row r="679" s="29" customFormat="1" ht="17.100000000000001" customHeight="1"/>
    <row r="680" s="29" customFormat="1" ht="17.100000000000001" customHeight="1"/>
    <row r="681" s="29" customFormat="1" ht="17.100000000000001" customHeight="1"/>
    <row r="682" s="29" customFormat="1" ht="17.100000000000001" customHeight="1"/>
    <row r="683" s="29" customFormat="1" ht="17.100000000000001" customHeight="1"/>
    <row r="684" s="29" customFormat="1" ht="17.100000000000001" customHeight="1"/>
    <row r="685" s="29" customFormat="1" ht="17.100000000000001" customHeight="1"/>
    <row r="686" s="29" customFormat="1" ht="17.100000000000001" customHeight="1"/>
    <row r="687" s="29" customFormat="1" ht="17.100000000000001" customHeight="1"/>
    <row r="688" s="29" customFormat="1" ht="17.100000000000001" customHeight="1"/>
    <row r="689" s="29" customFormat="1" ht="17.100000000000001" customHeight="1"/>
    <row r="690" s="29" customFormat="1" ht="17.100000000000001" customHeight="1"/>
    <row r="691" s="29" customFormat="1" ht="17.100000000000001" customHeight="1"/>
    <row r="692" s="29" customFormat="1" ht="17.100000000000001" customHeight="1"/>
    <row r="693" s="29" customFormat="1" ht="17.100000000000001" customHeight="1"/>
    <row r="694" s="29" customFormat="1" ht="17.100000000000001" customHeight="1"/>
    <row r="695" s="29" customFormat="1" ht="17.100000000000001" customHeight="1"/>
    <row r="696" s="29" customFormat="1" ht="17.100000000000001" customHeight="1"/>
    <row r="697" s="29" customFormat="1" ht="17.100000000000001" customHeight="1"/>
    <row r="698" s="29" customFormat="1" ht="17.100000000000001" customHeight="1"/>
    <row r="699" s="29" customFormat="1" ht="17.100000000000001" customHeight="1"/>
    <row r="700" s="29" customFormat="1" ht="17.100000000000001" customHeight="1"/>
    <row r="701" s="29" customFormat="1" ht="17.100000000000001" customHeight="1"/>
    <row r="702" s="29" customFormat="1" ht="17.100000000000001" customHeight="1"/>
    <row r="703" s="29" customFormat="1" ht="17.100000000000001" customHeight="1"/>
    <row r="704" s="29" customFormat="1" ht="17.100000000000001" customHeight="1"/>
    <row r="705" s="29" customFormat="1" ht="17.100000000000001" customHeight="1"/>
    <row r="706" s="29" customFormat="1" ht="17.100000000000001" customHeight="1"/>
    <row r="707" s="29" customFormat="1" ht="17.100000000000001" customHeight="1"/>
    <row r="708" s="29" customFormat="1" ht="17.100000000000001" customHeight="1"/>
    <row r="709" s="29" customFormat="1" ht="17.100000000000001" customHeight="1"/>
    <row r="710" s="29" customFormat="1" ht="17.100000000000001" customHeight="1"/>
    <row r="711" s="29" customFormat="1" ht="17.100000000000001" customHeight="1"/>
    <row r="712" s="29" customFormat="1" ht="17.100000000000001" customHeight="1"/>
    <row r="713" s="29" customFormat="1" ht="17.100000000000001" customHeight="1"/>
    <row r="714" s="29" customFormat="1" ht="17.100000000000001" customHeight="1"/>
    <row r="715" s="29" customFormat="1" ht="17.100000000000001" customHeight="1"/>
    <row r="716" s="29" customFormat="1" ht="17.100000000000001" customHeight="1"/>
    <row r="717" s="29" customFormat="1" ht="17.100000000000001" customHeight="1"/>
    <row r="718" s="29" customFormat="1" ht="17.100000000000001" customHeight="1"/>
    <row r="719" s="29" customFormat="1" ht="17.100000000000001" customHeight="1"/>
    <row r="720" s="29" customFormat="1" ht="17.100000000000001" customHeight="1"/>
    <row r="721" s="29" customFormat="1" ht="17.100000000000001" customHeight="1"/>
    <row r="722" s="29" customFormat="1" ht="17.100000000000001" customHeight="1"/>
    <row r="723" s="29" customFormat="1" ht="17.100000000000001" customHeight="1"/>
    <row r="724" s="29" customFormat="1" ht="17.100000000000001" customHeight="1"/>
    <row r="725" s="29" customFormat="1" ht="17.100000000000001" customHeight="1"/>
    <row r="726" s="29" customFormat="1" ht="17.100000000000001" customHeight="1"/>
    <row r="727" s="29" customFormat="1" ht="17.100000000000001" customHeight="1"/>
    <row r="728" s="29" customFormat="1" ht="17.100000000000001" customHeight="1"/>
    <row r="729" s="29" customFormat="1" ht="17.100000000000001" customHeight="1"/>
    <row r="730" s="29" customFormat="1" ht="17.100000000000001" customHeight="1"/>
    <row r="731" s="29" customFormat="1" ht="17.100000000000001" customHeight="1"/>
    <row r="732" s="29" customFormat="1" ht="17.100000000000001" customHeight="1"/>
    <row r="733" s="29" customFormat="1" ht="17.100000000000001" customHeight="1"/>
    <row r="734" s="29" customFormat="1" ht="17.100000000000001" customHeight="1"/>
    <row r="735" s="29" customFormat="1" ht="17.100000000000001" customHeight="1"/>
    <row r="736" s="29" customFormat="1" ht="17.100000000000001" customHeight="1"/>
    <row r="737" s="29" customFormat="1" ht="17.100000000000001" customHeight="1"/>
    <row r="738" s="29" customFormat="1" ht="17.100000000000001" customHeight="1"/>
    <row r="739" s="29" customFormat="1" ht="17.100000000000001" customHeight="1"/>
    <row r="740" s="29" customFormat="1" ht="17.100000000000001" customHeight="1"/>
    <row r="741" s="29" customFormat="1" ht="17.100000000000001" customHeight="1"/>
    <row r="742" s="29" customFormat="1" ht="17.100000000000001" customHeight="1"/>
    <row r="743" s="29" customFormat="1" ht="17.100000000000001" customHeight="1"/>
    <row r="744" s="29" customFormat="1" ht="17.100000000000001" customHeight="1"/>
    <row r="745" s="29" customFormat="1" ht="17.100000000000001" customHeight="1"/>
    <row r="746" s="29" customFormat="1" ht="17.100000000000001" customHeight="1"/>
    <row r="747" s="29" customFormat="1" ht="17.100000000000001" customHeight="1"/>
    <row r="748" s="29" customFormat="1" ht="17.100000000000001" customHeight="1"/>
    <row r="749" s="29" customFormat="1" ht="17.100000000000001" customHeight="1"/>
    <row r="750" s="29" customFormat="1" ht="17.100000000000001" customHeight="1"/>
    <row r="751" s="29" customFormat="1" ht="17.100000000000001" customHeight="1"/>
    <row r="752" s="29" customFormat="1" ht="17.100000000000001" customHeight="1"/>
    <row r="753" s="29" customFormat="1" ht="17.100000000000001" customHeight="1"/>
    <row r="754" s="29" customFormat="1" ht="17.100000000000001" customHeight="1"/>
    <row r="755" s="29" customFormat="1" ht="17.100000000000001" customHeight="1"/>
    <row r="756" s="29" customFormat="1" ht="17.100000000000001" customHeight="1"/>
    <row r="757" s="29" customFormat="1" ht="17.100000000000001" customHeight="1"/>
    <row r="758" s="29" customFormat="1" ht="17.100000000000001" customHeight="1"/>
    <row r="759" s="29" customFormat="1" ht="17.100000000000001" customHeight="1"/>
    <row r="760" s="29" customFormat="1" ht="17.100000000000001" customHeight="1"/>
    <row r="761" s="29" customFormat="1" ht="17.100000000000001" customHeight="1"/>
    <row r="762" s="29" customFormat="1" ht="17.100000000000001" customHeight="1"/>
    <row r="763" s="29" customFormat="1" ht="17.100000000000001" customHeight="1"/>
    <row r="764" s="29" customFormat="1" ht="17.100000000000001" customHeight="1"/>
    <row r="765" s="29" customFormat="1" ht="17.100000000000001" customHeight="1"/>
    <row r="766" s="29" customFormat="1" ht="17.100000000000001" customHeight="1"/>
    <row r="767" s="29" customFormat="1" ht="17.100000000000001" customHeight="1"/>
    <row r="768" s="29" customFormat="1" ht="17.100000000000001" customHeight="1"/>
    <row r="769" s="29" customFormat="1" ht="17.100000000000001" customHeight="1"/>
    <row r="770" s="29" customFormat="1" ht="17.100000000000001" customHeight="1"/>
    <row r="771" s="29" customFormat="1" ht="17.100000000000001" customHeight="1"/>
    <row r="772" s="29" customFormat="1" ht="17.100000000000001" customHeight="1"/>
    <row r="773" s="29" customFormat="1" ht="17.100000000000001" customHeight="1"/>
    <row r="774" s="29" customFormat="1" ht="17.100000000000001" customHeight="1"/>
    <row r="775" s="29" customFormat="1" ht="17.100000000000001" customHeight="1"/>
    <row r="776" s="29" customFormat="1" ht="17.100000000000001" customHeight="1"/>
    <row r="777" s="29" customFormat="1" ht="17.100000000000001" customHeight="1"/>
    <row r="778" s="29" customFormat="1" ht="17.100000000000001" customHeight="1"/>
    <row r="779" s="29" customFormat="1" ht="17.100000000000001" customHeight="1"/>
    <row r="780" s="29" customFormat="1" ht="17.100000000000001" customHeight="1"/>
    <row r="781" s="29" customFormat="1" ht="17.100000000000001" customHeight="1"/>
    <row r="782" s="29" customFormat="1" ht="17.100000000000001" customHeight="1"/>
    <row r="783" s="29" customFormat="1" ht="17.100000000000001" customHeight="1"/>
    <row r="784" s="29" customFormat="1" ht="17.100000000000001" customHeight="1"/>
    <row r="785" s="29" customFormat="1" ht="17.100000000000001" customHeight="1"/>
    <row r="786" s="29" customFormat="1" ht="17.100000000000001" customHeight="1"/>
    <row r="787" s="29" customFormat="1" ht="17.100000000000001" customHeight="1"/>
    <row r="788" s="29" customFormat="1" ht="17.100000000000001" customHeight="1"/>
    <row r="789" s="29" customFormat="1" ht="17.100000000000001" customHeight="1"/>
    <row r="790" s="29" customFormat="1" ht="17.100000000000001" customHeight="1"/>
    <row r="791" s="29" customFormat="1" ht="17.100000000000001" customHeight="1"/>
    <row r="792" s="29" customFormat="1" ht="17.100000000000001" customHeight="1"/>
    <row r="793" s="29" customFormat="1" ht="17.100000000000001" customHeight="1"/>
    <row r="794" s="29" customFormat="1" ht="17.100000000000001" customHeight="1"/>
    <row r="795" s="29" customFormat="1" ht="17.100000000000001" customHeight="1"/>
    <row r="796" s="29" customFormat="1" ht="17.100000000000001" customHeight="1"/>
    <row r="797" s="29" customFormat="1" ht="17.100000000000001" customHeight="1"/>
    <row r="798" s="29" customFormat="1" ht="17.100000000000001" customHeight="1"/>
    <row r="799" s="29" customFormat="1" ht="17.100000000000001" customHeight="1"/>
    <row r="800" s="29" customFormat="1" ht="17.100000000000001" customHeight="1"/>
    <row r="801" s="29" customFormat="1" ht="17.100000000000001" customHeight="1"/>
    <row r="802" s="29" customFormat="1" ht="17.100000000000001" customHeight="1"/>
    <row r="803" s="29" customFormat="1" ht="17.100000000000001" customHeight="1"/>
    <row r="804" s="29" customFormat="1" ht="17.100000000000001" customHeight="1"/>
    <row r="805" s="29" customFormat="1" ht="17.100000000000001" customHeight="1"/>
    <row r="806" s="29" customFormat="1" ht="17.100000000000001" customHeight="1"/>
    <row r="807" s="29" customFormat="1" ht="17.100000000000001" customHeight="1"/>
    <row r="808" s="29" customFormat="1" ht="17.100000000000001" customHeight="1"/>
    <row r="809" s="29" customFormat="1" ht="17.100000000000001" customHeight="1"/>
    <row r="810" s="29" customFormat="1" ht="17.100000000000001" customHeight="1"/>
    <row r="811" s="29" customFormat="1" ht="17.100000000000001" customHeight="1"/>
    <row r="812" s="29" customFormat="1" ht="17.100000000000001" customHeight="1"/>
    <row r="813" s="29" customFormat="1" ht="17.100000000000001" customHeight="1"/>
    <row r="814" s="29" customFormat="1" ht="17.100000000000001" customHeight="1"/>
    <row r="815" s="29" customFormat="1" ht="17.100000000000001" customHeight="1"/>
    <row r="816" s="29" customFormat="1" ht="17.100000000000001" customHeight="1"/>
    <row r="817" s="29" customFormat="1" ht="17.100000000000001" customHeight="1"/>
    <row r="818" s="29" customFormat="1" ht="17.100000000000001" customHeight="1"/>
    <row r="819" s="29" customFormat="1" ht="17.100000000000001" customHeight="1"/>
    <row r="820" s="29" customFormat="1" ht="17.100000000000001" customHeight="1"/>
    <row r="821" s="29" customFormat="1" ht="17.100000000000001" customHeight="1"/>
    <row r="822" s="29" customFormat="1" ht="17.100000000000001" customHeight="1"/>
    <row r="823" s="29" customFormat="1" ht="17.100000000000001" customHeight="1"/>
    <row r="824" s="29" customFormat="1" ht="17.100000000000001" customHeight="1"/>
    <row r="825" s="29" customFormat="1" ht="17.100000000000001" customHeight="1"/>
    <row r="826" s="29" customFormat="1" ht="17.100000000000001" customHeight="1"/>
    <row r="827" s="29" customFormat="1" ht="17.100000000000001" customHeight="1"/>
    <row r="828" s="29" customFormat="1" ht="17.100000000000001" customHeight="1"/>
    <row r="829" s="29" customFormat="1" ht="17.100000000000001" customHeight="1"/>
    <row r="830" s="29" customFormat="1" ht="17.100000000000001" customHeight="1"/>
    <row r="831" s="29" customFormat="1" ht="17.100000000000001" customHeight="1"/>
    <row r="832" s="29" customFormat="1" ht="17.100000000000001" customHeight="1"/>
    <row r="833" s="29" customFormat="1" ht="17.100000000000001" customHeight="1"/>
    <row r="834" s="29" customFormat="1" ht="17.100000000000001" customHeight="1"/>
    <row r="835" s="29" customFormat="1" ht="17.100000000000001" customHeight="1"/>
    <row r="836" s="29" customFormat="1" ht="17.100000000000001" customHeight="1"/>
    <row r="837" s="29" customFormat="1" ht="17.100000000000001" customHeight="1"/>
    <row r="838" s="29" customFormat="1" ht="17.100000000000001" customHeight="1"/>
    <row r="839" s="29" customFormat="1" ht="17.100000000000001" customHeight="1"/>
    <row r="840" s="29" customFormat="1" ht="17.100000000000001" customHeight="1"/>
    <row r="841" s="29" customFormat="1" ht="17.100000000000001" customHeight="1"/>
    <row r="842" s="29" customFormat="1" ht="17.100000000000001" customHeight="1"/>
    <row r="843" s="29" customFormat="1" ht="17.100000000000001" customHeight="1"/>
    <row r="844" s="29" customFormat="1" ht="17.100000000000001" customHeight="1"/>
    <row r="845" s="29" customFormat="1" ht="17.100000000000001" customHeight="1"/>
    <row r="846" s="29" customFormat="1" ht="17.100000000000001" customHeight="1"/>
    <row r="847" s="29" customFormat="1" ht="17.100000000000001" customHeight="1"/>
    <row r="848" s="29" customFormat="1" ht="17.100000000000001" customHeight="1"/>
    <row r="849" s="29" customFormat="1" ht="17.100000000000001" customHeight="1"/>
    <row r="850" s="29" customFormat="1" ht="17.100000000000001" customHeight="1"/>
    <row r="851" s="29" customFormat="1" ht="17.100000000000001" customHeight="1"/>
    <row r="852" s="29" customFormat="1" ht="17.100000000000001" customHeight="1"/>
    <row r="853" s="29" customFormat="1" ht="17.100000000000001" customHeight="1"/>
    <row r="854" s="29" customFormat="1" ht="17.100000000000001" customHeight="1"/>
    <row r="855" s="29" customFormat="1" ht="17.100000000000001" customHeight="1"/>
    <row r="856" s="29" customFormat="1" ht="17.100000000000001" customHeight="1"/>
    <row r="857" s="29" customFormat="1" ht="17.100000000000001" customHeight="1"/>
    <row r="858" s="29" customFormat="1" ht="17.100000000000001" customHeight="1"/>
    <row r="859" s="29" customFormat="1" ht="17.100000000000001" customHeight="1"/>
    <row r="860" s="29" customFormat="1" ht="17.100000000000001" customHeight="1"/>
    <row r="861" s="29" customFormat="1" ht="17.100000000000001" customHeight="1"/>
    <row r="862" s="29" customFormat="1" ht="17.100000000000001" customHeight="1"/>
    <row r="863" s="29" customFormat="1" ht="17.100000000000001" customHeight="1"/>
    <row r="864" s="29" customFormat="1" ht="17.100000000000001" customHeight="1"/>
    <row r="865" s="29" customFormat="1" ht="17.100000000000001" customHeight="1"/>
    <row r="866" s="29" customFormat="1" ht="17.100000000000001" customHeight="1"/>
    <row r="867" s="29" customFormat="1" ht="17.100000000000001" customHeight="1"/>
    <row r="868" s="29" customFormat="1" ht="17.100000000000001" customHeight="1"/>
    <row r="869" s="29" customFormat="1" ht="17.100000000000001" customHeight="1"/>
    <row r="870" s="29" customFormat="1" ht="17.100000000000001" customHeight="1"/>
    <row r="871" s="29" customFormat="1" ht="17.100000000000001" customHeight="1"/>
    <row r="872" s="29" customFormat="1" ht="17.100000000000001" customHeight="1"/>
    <row r="873" s="29" customFormat="1" ht="17.100000000000001" customHeight="1"/>
    <row r="874" s="29" customFormat="1" ht="17.100000000000001" customHeight="1"/>
    <row r="875" s="29" customFormat="1" ht="17.100000000000001" customHeight="1"/>
    <row r="876" s="29" customFormat="1" ht="17.100000000000001" customHeight="1"/>
    <row r="877" s="29" customFormat="1" ht="17.100000000000001" customHeight="1"/>
    <row r="878" s="29" customFormat="1" ht="17.100000000000001" customHeight="1"/>
    <row r="879" s="29" customFormat="1" ht="17.100000000000001" customHeight="1"/>
    <row r="880" s="29" customFormat="1" ht="17.100000000000001" customHeight="1"/>
    <row r="881" s="29" customFormat="1" ht="17.100000000000001" customHeight="1"/>
    <row r="882" s="29" customFormat="1" ht="17.100000000000001" customHeight="1"/>
    <row r="883" s="29" customFormat="1" ht="17.100000000000001" customHeight="1"/>
    <row r="884" s="29" customFormat="1" ht="17.100000000000001" customHeight="1"/>
    <row r="885" s="29" customFormat="1" ht="17.100000000000001" customHeight="1"/>
    <row r="886" s="29" customFormat="1" ht="17.100000000000001" customHeight="1"/>
    <row r="887" s="29" customFormat="1" ht="17.100000000000001" customHeight="1"/>
    <row r="888" s="29" customFormat="1" ht="17.100000000000001" customHeight="1"/>
    <row r="889" s="29" customFormat="1" ht="17.100000000000001" customHeight="1"/>
    <row r="890" s="29" customFormat="1" ht="17.100000000000001" customHeight="1"/>
    <row r="891" s="29" customFormat="1" ht="17.100000000000001" customHeight="1"/>
    <row r="892" s="29" customFormat="1" ht="17.100000000000001" customHeight="1"/>
    <row r="893" s="29" customFormat="1" ht="17.100000000000001" customHeight="1"/>
    <row r="894" s="29" customFormat="1" ht="17.100000000000001" customHeight="1"/>
    <row r="895" s="29" customFormat="1" ht="17.100000000000001" customHeight="1"/>
    <row r="896" s="29" customFormat="1" ht="17.100000000000001" customHeight="1"/>
    <row r="897" s="29" customFormat="1" ht="17.100000000000001" customHeight="1"/>
    <row r="898" s="29" customFormat="1" ht="17.100000000000001" customHeight="1"/>
    <row r="899" s="29" customFormat="1" ht="17.100000000000001" customHeight="1"/>
    <row r="900" s="29" customFormat="1" ht="17.100000000000001" customHeight="1"/>
    <row r="901" s="29" customFormat="1" ht="17.100000000000001" customHeight="1"/>
    <row r="902" s="29" customFormat="1" ht="17.100000000000001" customHeight="1"/>
    <row r="903" s="29" customFormat="1" ht="17.100000000000001" customHeight="1"/>
    <row r="904" s="29" customFormat="1" ht="17.100000000000001" customHeight="1"/>
    <row r="905" s="29" customFormat="1" ht="17.100000000000001" customHeight="1"/>
    <row r="906" s="29" customFormat="1" ht="17.100000000000001" customHeight="1"/>
    <row r="907" s="29" customFormat="1" ht="17.100000000000001" customHeight="1"/>
    <row r="908" s="29" customFormat="1" ht="17.100000000000001" customHeight="1"/>
    <row r="909" s="29" customFormat="1" ht="17.100000000000001" customHeight="1"/>
    <row r="910" s="29" customFormat="1" ht="17.100000000000001" customHeight="1"/>
    <row r="911" s="29" customFormat="1" ht="17.100000000000001" customHeight="1"/>
    <row r="912" s="29" customFormat="1" ht="17.100000000000001" customHeight="1"/>
    <row r="913" s="29" customFormat="1" ht="17.100000000000001" customHeight="1"/>
    <row r="914" s="29" customFormat="1" ht="17.100000000000001" customHeight="1"/>
    <row r="915" s="29" customFormat="1" ht="17.100000000000001" customHeight="1"/>
    <row r="916" s="29" customFormat="1" ht="17.100000000000001" customHeight="1"/>
    <row r="917" s="29" customFormat="1" ht="17.100000000000001" customHeight="1"/>
    <row r="918" s="29" customFormat="1" ht="17.100000000000001" customHeight="1"/>
    <row r="919" s="29" customFormat="1" ht="17.100000000000001" customHeight="1"/>
    <row r="920" s="29" customFormat="1" ht="17.100000000000001" customHeight="1"/>
    <row r="921" s="29" customFormat="1" ht="17.100000000000001" customHeight="1"/>
    <row r="922" s="29" customFormat="1" ht="17.100000000000001" customHeight="1"/>
    <row r="923" s="29" customFormat="1" ht="17.100000000000001" customHeight="1"/>
    <row r="924" s="29" customFormat="1" ht="17.100000000000001" customHeight="1"/>
    <row r="925" s="29" customFormat="1" ht="17.100000000000001" customHeight="1"/>
    <row r="926" s="29" customFormat="1" ht="17.100000000000001" customHeight="1"/>
    <row r="927" s="29" customFormat="1" ht="17.100000000000001" customHeight="1"/>
    <row r="928" s="29" customFormat="1" ht="17.100000000000001" customHeight="1"/>
    <row r="929" s="29" customFormat="1" ht="17.100000000000001" customHeight="1"/>
    <row r="930" s="29" customFormat="1" ht="17.100000000000001" customHeight="1"/>
    <row r="931" s="29" customFormat="1" ht="17.100000000000001" customHeight="1"/>
    <row r="932" s="29" customFormat="1" ht="17.100000000000001" customHeight="1"/>
    <row r="933" s="29" customFormat="1" ht="17.100000000000001" customHeight="1"/>
    <row r="934" s="29" customFormat="1" ht="17.100000000000001" customHeight="1"/>
    <row r="935" s="29" customFormat="1" ht="17.100000000000001" customHeight="1"/>
    <row r="936" s="29" customFormat="1" ht="17.100000000000001" customHeight="1"/>
    <row r="937" s="29" customFormat="1" ht="17.100000000000001" customHeight="1"/>
    <row r="938" s="29" customFormat="1" ht="17.100000000000001" customHeight="1"/>
    <row r="939" s="29" customFormat="1" ht="17.100000000000001" customHeight="1"/>
    <row r="940" s="29" customFormat="1" ht="17.100000000000001" customHeight="1"/>
    <row r="941" s="29" customFormat="1" ht="17.100000000000001" customHeight="1"/>
    <row r="942" s="29" customFormat="1" ht="17.100000000000001" customHeight="1"/>
    <row r="943" s="29" customFormat="1" ht="17.100000000000001" customHeight="1"/>
    <row r="944" s="29" customFormat="1" ht="17.100000000000001" customHeight="1"/>
    <row r="945" s="29" customFormat="1" ht="17.100000000000001" customHeight="1"/>
    <row r="946" s="29" customFormat="1" ht="17.100000000000001" customHeight="1"/>
    <row r="947" s="29" customFormat="1" ht="17.100000000000001" customHeight="1"/>
    <row r="948" s="29" customFormat="1" ht="17.100000000000001" customHeight="1"/>
    <row r="949" s="29" customFormat="1" ht="17.100000000000001" customHeight="1"/>
    <row r="950" s="29" customFormat="1" ht="17.100000000000001" customHeight="1"/>
    <row r="951" s="29" customFormat="1" ht="17.100000000000001" customHeight="1"/>
    <row r="952" s="29" customFormat="1" ht="17.100000000000001" customHeight="1"/>
    <row r="953" s="29" customFormat="1" ht="17.100000000000001" customHeight="1"/>
    <row r="954" s="29" customFormat="1" ht="17.100000000000001" customHeight="1"/>
    <row r="955" s="29" customFormat="1" ht="17.100000000000001" customHeight="1"/>
    <row r="956" s="29" customFormat="1" ht="17.100000000000001" customHeight="1"/>
    <row r="957" s="29" customFormat="1" ht="17.100000000000001" customHeight="1"/>
    <row r="958" s="29" customFormat="1" ht="17.100000000000001" customHeight="1"/>
    <row r="959" s="29" customFormat="1" ht="17.100000000000001" customHeight="1"/>
    <row r="960" s="29" customFormat="1" ht="17.100000000000001" customHeight="1"/>
    <row r="961" s="29" customFormat="1" ht="17.100000000000001" customHeight="1"/>
    <row r="962" s="29" customFormat="1" ht="17.100000000000001" customHeight="1"/>
    <row r="963" s="29" customFormat="1" ht="17.100000000000001" customHeight="1"/>
    <row r="964" s="29" customFormat="1" ht="17.100000000000001" customHeight="1"/>
    <row r="965" s="29" customFormat="1" ht="17.100000000000001" customHeight="1"/>
    <row r="966" s="29" customFormat="1" ht="17.100000000000001" customHeight="1"/>
    <row r="967" s="29" customFormat="1" ht="17.100000000000001" customHeight="1"/>
    <row r="968" s="29" customFormat="1" ht="17.100000000000001" customHeight="1"/>
    <row r="969" s="29" customFormat="1" ht="17.100000000000001" customHeight="1"/>
    <row r="970" s="29" customFormat="1" ht="17.100000000000001" customHeight="1"/>
    <row r="971" s="29" customFormat="1" ht="17.100000000000001" customHeight="1"/>
    <row r="972" s="29" customFormat="1" ht="17.100000000000001" customHeight="1"/>
    <row r="973" s="29" customFormat="1" ht="17.100000000000001" customHeight="1"/>
    <row r="974" s="29" customFormat="1" ht="17.100000000000001" customHeight="1"/>
    <row r="975" s="29" customFormat="1" ht="17.100000000000001" customHeight="1"/>
    <row r="976" s="29" customFormat="1" ht="17.100000000000001" customHeight="1"/>
    <row r="977" s="29" customFormat="1" ht="17.100000000000001" customHeight="1"/>
    <row r="978" s="29" customFormat="1" ht="17.100000000000001" customHeight="1"/>
    <row r="979" s="29" customFormat="1" ht="17.100000000000001" customHeight="1"/>
    <row r="980" s="29" customFormat="1" ht="17.100000000000001" customHeight="1"/>
    <row r="981" s="29" customFormat="1" ht="17.100000000000001" customHeight="1"/>
    <row r="982" s="29" customFormat="1" ht="17.100000000000001" customHeight="1"/>
    <row r="983" s="29" customFormat="1" ht="17.100000000000001" customHeight="1"/>
    <row r="984" s="29" customFormat="1" ht="17.100000000000001" customHeight="1"/>
    <row r="985" s="29" customFormat="1" ht="17.100000000000001" customHeight="1"/>
    <row r="986" s="29" customFormat="1" ht="17.100000000000001" customHeight="1"/>
    <row r="987" s="29" customFormat="1" ht="17.100000000000001" customHeight="1"/>
    <row r="988" s="29" customFormat="1" ht="17.100000000000001" customHeight="1"/>
    <row r="989" s="29" customFormat="1" ht="17.100000000000001" customHeight="1"/>
    <row r="990" s="29" customFormat="1" ht="17.100000000000001" customHeight="1"/>
    <row r="991" s="29" customFormat="1" ht="17.100000000000001" customHeight="1"/>
    <row r="992" s="29" customFormat="1" ht="17.100000000000001" customHeight="1"/>
    <row r="993" s="29" customFormat="1" ht="17.100000000000001" customHeight="1"/>
    <row r="994" s="29" customFormat="1" ht="17.100000000000001" customHeight="1"/>
    <row r="995" s="29" customFormat="1" ht="17.100000000000001" customHeight="1"/>
    <row r="996" s="29" customFormat="1" ht="17.100000000000001" customHeight="1"/>
    <row r="997" s="29" customFormat="1" ht="17.100000000000001" customHeight="1"/>
    <row r="998" s="29" customFormat="1" ht="17.100000000000001" customHeight="1"/>
    <row r="999" s="29" customFormat="1" ht="17.100000000000001" customHeight="1"/>
    <row r="1000" s="29" customFormat="1" ht="17.100000000000001" customHeight="1"/>
    <row r="1001" s="29" customFormat="1" ht="17.100000000000001" customHeight="1"/>
    <row r="1002" s="29" customFormat="1" ht="17.100000000000001" customHeight="1"/>
    <row r="1003" s="29" customFormat="1" ht="17.100000000000001" customHeight="1"/>
    <row r="1004" s="29" customFormat="1" ht="17.100000000000001" customHeight="1"/>
    <row r="1005" s="29" customFormat="1" ht="17.100000000000001" customHeight="1"/>
    <row r="1006" s="29" customFormat="1" ht="17.100000000000001" customHeight="1"/>
    <row r="1007" s="29" customFormat="1" ht="17.100000000000001" customHeight="1"/>
    <row r="1008" s="29" customFormat="1" ht="17.100000000000001" customHeight="1"/>
    <row r="1009" s="29" customFormat="1" ht="17.100000000000001" customHeight="1"/>
    <row r="1010" s="29" customFormat="1" ht="17.100000000000001" customHeight="1"/>
    <row r="1011" s="29" customFormat="1" ht="17.100000000000001" customHeight="1"/>
    <row r="1012" s="29" customFormat="1" ht="17.100000000000001" customHeight="1"/>
    <row r="1013" s="29" customFormat="1" ht="17.100000000000001" customHeight="1"/>
    <row r="1014" s="29" customFormat="1" ht="17.100000000000001" customHeight="1"/>
    <row r="1015" s="29" customFormat="1" ht="17.100000000000001" customHeight="1"/>
    <row r="1016" s="29" customFormat="1" ht="17.100000000000001" customHeight="1"/>
    <row r="1017" s="29" customFormat="1" ht="17.100000000000001" customHeight="1"/>
    <row r="1018" s="29" customFormat="1" ht="17.100000000000001" customHeight="1"/>
    <row r="1019" s="29" customFormat="1" ht="17.100000000000001" customHeight="1"/>
    <row r="1020" s="29" customFormat="1" ht="17.100000000000001" customHeight="1"/>
    <row r="1021" s="29" customFormat="1" ht="17.100000000000001" customHeight="1"/>
    <row r="1022" s="29" customFormat="1" ht="17.100000000000001" customHeight="1"/>
    <row r="1023" s="29" customFormat="1" ht="17.100000000000001" customHeight="1"/>
    <row r="1024" s="29" customFormat="1" ht="17.100000000000001" customHeight="1"/>
    <row r="1025" s="29" customFormat="1" ht="17.100000000000001" customHeight="1"/>
    <row r="1026" s="29" customFormat="1" ht="17.100000000000001" customHeight="1"/>
    <row r="1027" s="29" customFormat="1" ht="17.100000000000001" customHeight="1"/>
    <row r="1028" s="29" customFormat="1" ht="17.100000000000001" customHeight="1"/>
    <row r="1029" s="29" customFormat="1" ht="17.100000000000001" customHeight="1"/>
    <row r="1030" s="29" customFormat="1" ht="17.100000000000001" customHeight="1"/>
    <row r="1031" s="29" customFormat="1" ht="17.100000000000001" customHeight="1"/>
    <row r="1032" s="29" customFormat="1" ht="17.100000000000001" customHeight="1"/>
    <row r="1033" s="29" customFormat="1" ht="17.100000000000001" customHeight="1"/>
    <row r="1034" s="29" customFormat="1" ht="17.100000000000001" customHeight="1"/>
    <row r="1035" s="29" customFormat="1" ht="17.100000000000001" customHeight="1"/>
    <row r="1036" s="29" customFormat="1" ht="17.100000000000001" customHeight="1"/>
    <row r="1037" s="29" customFormat="1" ht="17.100000000000001" customHeight="1"/>
    <row r="1038" s="29" customFormat="1" ht="17.100000000000001" customHeight="1"/>
    <row r="1039" s="29" customFormat="1" ht="17.100000000000001" customHeight="1"/>
    <row r="1040" s="29" customFormat="1" ht="17.100000000000001" customHeight="1"/>
    <row r="1041" s="29" customFormat="1" ht="17.100000000000001" customHeight="1"/>
    <row r="1042" s="29" customFormat="1" ht="17.100000000000001" customHeight="1"/>
    <row r="1043" s="29" customFormat="1" ht="17.100000000000001" customHeight="1"/>
    <row r="1044" s="29" customFormat="1" ht="17.100000000000001" customHeight="1"/>
    <row r="1045" s="29" customFormat="1" ht="17.100000000000001" customHeight="1"/>
    <row r="1046" s="29" customFormat="1" ht="17.100000000000001" customHeight="1"/>
    <row r="1047" s="29" customFormat="1" ht="17.100000000000001" customHeight="1"/>
    <row r="1048" s="29" customFormat="1" ht="17.100000000000001" customHeight="1"/>
    <row r="1049" s="29" customFormat="1" ht="17.100000000000001" customHeight="1"/>
    <row r="1050" s="29" customFormat="1" ht="17.100000000000001" customHeight="1"/>
    <row r="1051" s="29" customFormat="1" ht="17.100000000000001" customHeight="1"/>
    <row r="1052" s="29" customFormat="1" ht="17.100000000000001" customHeight="1"/>
    <row r="1053" s="29" customFormat="1" ht="17.100000000000001" customHeight="1"/>
    <row r="1054" s="29" customFormat="1" ht="17.100000000000001" customHeight="1"/>
    <row r="1055" s="29" customFormat="1" ht="17.100000000000001" customHeight="1"/>
    <row r="1056" s="29" customFormat="1" ht="17.100000000000001" customHeight="1"/>
    <row r="1057" s="29" customFormat="1" ht="17.100000000000001" customHeight="1"/>
    <row r="1058" s="29" customFormat="1" ht="17.100000000000001" customHeight="1"/>
    <row r="1059" s="29" customFormat="1" ht="17.100000000000001" customHeight="1"/>
    <row r="1060" s="29" customFormat="1" ht="17.100000000000001" customHeight="1"/>
    <row r="1061" s="29" customFormat="1" ht="17.100000000000001" customHeight="1"/>
    <row r="1062" s="29" customFormat="1" ht="17.100000000000001" customHeight="1"/>
    <row r="1063" s="29" customFormat="1" ht="17.100000000000001" customHeight="1"/>
    <row r="1064" s="29" customFormat="1" ht="17.100000000000001" customHeight="1"/>
  </sheetData>
  <sheetProtection formatCells="0" insertHyperlinks="0" autoFilter="0"/>
  <protectedRanges>
    <protectedRange sqref="R6:R34 D6:D34" name="区域1"/>
  </protectedRanges>
  <mergeCells count="5">
    <mergeCell ref="H4:I4"/>
    <mergeCell ref="A5:A6"/>
    <mergeCell ref="A8:A9"/>
    <mergeCell ref="A10:A11"/>
    <mergeCell ref="A12:A13"/>
  </mergeCells>
  <phoneticPr fontId="29" type="noConversion"/>
  <conditionalFormatting sqref="D7:R1048576">
    <cfRule type="expression" dxfId="47" priority="1">
      <formula>MOD(ROW(),2)=0</formula>
    </cfRule>
  </conditionalFormatting>
  <printOptions horizontalCentered="1"/>
  <pageMargins left="0.196527777777778" right="0.196527777777778" top="0.196527777777778" bottom="0.39305555555555599" header="0" footer="0.196527777777778"/>
  <pageSetup paperSize="9" scale="94" fitToHeight="0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238A-6966-4937-BD31-B861629BAAA3}">
  <sheetPr codeName="Sheet15"/>
  <dimension ref="A1:M22"/>
  <sheetViews>
    <sheetView showGridLines="0" showZeros="0" workbookViewId="0">
      <selection activeCell="G6" sqref="G6"/>
    </sheetView>
  </sheetViews>
  <sheetFormatPr defaultColWidth="9" defaultRowHeight="13.5"/>
  <cols>
    <col min="1" max="1" width="11" style="82" bestFit="1" customWidth="1"/>
    <col min="2" max="2" width="7.25" style="82" bestFit="1" customWidth="1"/>
    <col min="3" max="3" width="21.125" style="82" bestFit="1" customWidth="1"/>
    <col min="4" max="5" width="11.625" style="82" bestFit="1" customWidth="1"/>
    <col min="6" max="7" width="18.375" style="82" bestFit="1" customWidth="1"/>
    <col min="8" max="8" width="11.625" style="82" bestFit="1" customWidth="1"/>
    <col min="9" max="9" width="13" style="82" bestFit="1" customWidth="1"/>
    <col min="10" max="10" width="11.625" style="83" bestFit="1" customWidth="1"/>
    <col min="11" max="11" width="15" style="82" bestFit="1" customWidth="1"/>
    <col min="12" max="12" width="16.25" style="83" bestFit="1" customWidth="1"/>
    <col min="13" max="13" width="14.75" style="106" customWidth="1"/>
    <col min="14" max="16384" width="9" style="82"/>
  </cols>
  <sheetData>
    <row r="1" spans="1:12" ht="30.75" customHeight="1"/>
    <row r="2" spans="1:12" ht="30.75" customHeight="1"/>
    <row r="3" spans="1:12" ht="30.75" customHeight="1"/>
    <row r="4" spans="1:12" ht="30.75" customHeight="1"/>
    <row r="5" spans="1:12" ht="27">
      <c r="A5" s="176" t="s">
        <v>232</v>
      </c>
      <c r="B5" s="177"/>
      <c r="C5" s="177"/>
      <c r="D5" s="176" t="s">
        <v>231</v>
      </c>
      <c r="E5"/>
      <c r="F5"/>
      <c r="G5"/>
      <c r="H5"/>
      <c r="I5"/>
      <c r="J5"/>
      <c r="K5"/>
      <c r="L5"/>
    </row>
    <row r="6" spans="1:12" s="106" customFormat="1" ht="27">
      <c r="A6" s="176" t="s">
        <v>30</v>
      </c>
      <c r="B6" s="176" t="s">
        <v>227</v>
      </c>
      <c r="C6" s="176" t="s">
        <v>229</v>
      </c>
      <c r="D6" t="s">
        <v>77</v>
      </c>
      <c r="E6" t="s">
        <v>225</v>
      </c>
      <c r="F6"/>
      <c r="G6"/>
      <c r="H6"/>
      <c r="I6"/>
      <c r="J6"/>
      <c r="K6"/>
      <c r="L6"/>
    </row>
    <row r="7" spans="1:12" ht="17.25" customHeight="1">
      <c r="A7" s="164" t="s">
        <v>21</v>
      </c>
      <c r="B7" t="s">
        <v>162</v>
      </c>
      <c r="C7" t="s">
        <v>196</v>
      </c>
      <c r="D7" s="166">
        <v>2000</v>
      </c>
      <c r="E7" s="166">
        <v>2369.1999999999998</v>
      </c>
      <c r="F7"/>
      <c r="G7"/>
      <c r="H7"/>
      <c r="I7"/>
      <c r="J7"/>
      <c r="K7"/>
      <c r="L7"/>
    </row>
    <row r="8" spans="1:12" ht="17.25" customHeight="1">
      <c r="A8"/>
      <c r="B8"/>
      <c r="C8"/>
      <c r="D8"/>
      <c r="E8"/>
      <c r="F8"/>
      <c r="G8"/>
      <c r="H8"/>
      <c r="I8"/>
      <c r="J8"/>
      <c r="K8"/>
      <c r="L8"/>
    </row>
    <row r="9" spans="1:12" ht="17.25" customHeight="1">
      <c r="A9"/>
      <c r="B9"/>
      <c r="C9"/>
      <c r="D9"/>
      <c r="E9"/>
      <c r="F9"/>
      <c r="G9"/>
      <c r="H9"/>
      <c r="I9"/>
      <c r="J9"/>
      <c r="K9"/>
      <c r="L9"/>
    </row>
    <row r="10" spans="1:12" ht="17.25" customHeight="1">
      <c r="A10"/>
      <c r="B10"/>
      <c r="C10"/>
      <c r="D10"/>
      <c r="E10"/>
      <c r="F10"/>
      <c r="G10"/>
      <c r="H10"/>
      <c r="I10"/>
      <c r="J10"/>
      <c r="K10"/>
      <c r="L10"/>
    </row>
    <row r="11" spans="1:12" ht="17.25" customHeight="1">
      <c r="A11"/>
      <c r="B11"/>
      <c r="C11"/>
      <c r="D11"/>
      <c r="E11"/>
      <c r="F11"/>
      <c r="G11"/>
      <c r="H11"/>
      <c r="I11"/>
      <c r="J11"/>
      <c r="K11"/>
      <c r="L11"/>
    </row>
    <row r="12" spans="1:12" ht="17.25" customHeight="1">
      <c r="A12"/>
      <c r="B12"/>
      <c r="C12"/>
      <c r="D12"/>
      <c r="E12"/>
      <c r="F12"/>
      <c r="G12"/>
      <c r="H12"/>
      <c r="I12"/>
      <c r="J12"/>
      <c r="K12"/>
      <c r="L12"/>
    </row>
    <row r="13" spans="1:12" ht="17.25" customHeight="1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</row>
    <row r="15" spans="1:12">
      <c r="A15"/>
      <c r="B15"/>
      <c r="C15"/>
      <c r="D15"/>
    </row>
    <row r="16" spans="1:12">
      <c r="A16"/>
      <c r="B16"/>
      <c r="C16"/>
      <c r="D16"/>
    </row>
    <row r="17" spans="1:4">
      <c r="A17"/>
      <c r="B17"/>
      <c r="C17"/>
      <c r="D17"/>
    </row>
    <row r="18" spans="1:4">
      <c r="A18"/>
      <c r="B18"/>
      <c r="C18"/>
      <c r="D18"/>
    </row>
    <row r="19" spans="1:4">
      <c r="A19"/>
      <c r="B19"/>
      <c r="C19"/>
    </row>
    <row r="20" spans="1:4">
      <c r="A20"/>
      <c r="B20"/>
      <c r="C20"/>
    </row>
    <row r="21" spans="1:4">
      <c r="A21"/>
      <c r="B21"/>
      <c r="C21"/>
    </row>
    <row r="22" spans="1:4">
      <c r="A22"/>
      <c r="B22"/>
      <c r="C22"/>
    </row>
  </sheetData>
  <phoneticPr fontId="29" type="noConversion"/>
  <pageMargins left="7.7777777777777807E-2" right="0.196527777777778" top="0.235416666666667" bottom="7.7777777777777807E-2" header="0.3" footer="0.3"/>
  <pageSetup paperSize="9" orientation="landscape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10041-73DF-44FA-A88A-62D73BE9EE3D}">
  <sheetPr codeName="Sheet13"/>
  <dimension ref="A1:O29"/>
  <sheetViews>
    <sheetView tabSelected="1" workbookViewId="0">
      <pane ySplit="4" topLeftCell="A5" activePane="bottomLeft" state="frozen"/>
      <selection pane="bottomLeft" activeCell="P4" sqref="P4"/>
    </sheetView>
  </sheetViews>
  <sheetFormatPr defaultColWidth="9" defaultRowHeight="13.5"/>
  <cols>
    <col min="1" max="2" width="10.75" style="82" customWidth="1"/>
    <col min="3" max="10" width="10.375" style="82" customWidth="1"/>
    <col min="11" max="11" width="10.375" style="83" customWidth="1"/>
    <col min="12" max="12" width="10.875" style="82" customWidth="1"/>
    <col min="13" max="13" width="10.375" style="83" customWidth="1"/>
    <col min="14" max="14" width="10.375" style="82" customWidth="1"/>
    <col min="15" max="23" width="6.75" style="82" customWidth="1"/>
    <col min="24" max="16384" width="9" style="82"/>
  </cols>
  <sheetData>
    <row r="1" spans="1:14" ht="22.5">
      <c r="A1" s="274" t="str">
        <f>'01单据录入'!F1&amp;"年台帐明细总计"</f>
        <v>2021年台帐明细总计</v>
      </c>
      <c r="B1" s="275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7"/>
    </row>
    <row r="2" spans="1:14" ht="18.95" customHeight="1">
      <c r="A2" s="278" t="s">
        <v>30</v>
      </c>
      <c r="B2" s="279" t="s">
        <v>275</v>
      </c>
      <c r="C2" s="280"/>
      <c r="D2" s="280"/>
      <c r="E2" s="280"/>
      <c r="F2" s="280"/>
      <c r="G2" s="280"/>
      <c r="H2" s="280"/>
      <c r="I2" s="280"/>
      <c r="J2" s="280"/>
      <c r="K2" s="280"/>
      <c r="L2" s="281"/>
      <c r="M2" s="206"/>
      <c r="N2" s="207"/>
    </row>
    <row r="3" spans="1:14">
      <c r="A3" s="278"/>
      <c r="B3" s="279" t="s">
        <v>4</v>
      </c>
      <c r="C3" s="281"/>
      <c r="D3" s="282" t="s">
        <v>143</v>
      </c>
      <c r="E3" s="282"/>
      <c r="F3" s="282"/>
      <c r="G3" s="282" t="s">
        <v>144</v>
      </c>
      <c r="H3" s="282"/>
      <c r="I3" s="282"/>
      <c r="J3" s="282"/>
      <c r="K3" s="282"/>
      <c r="L3" s="206"/>
      <c r="M3" s="282" t="s">
        <v>50</v>
      </c>
      <c r="N3" s="283" t="s">
        <v>9</v>
      </c>
    </row>
    <row r="4" spans="1:14" ht="24" customHeight="1">
      <c r="A4" s="278"/>
      <c r="B4" s="223" t="s">
        <v>10</v>
      </c>
      <c r="C4" s="224" t="s">
        <v>11</v>
      </c>
      <c r="D4" s="206" t="s">
        <v>269</v>
      </c>
      <c r="E4" s="206" t="s">
        <v>271</v>
      </c>
      <c r="F4" s="206" t="s">
        <v>273</v>
      </c>
      <c r="G4" s="206" t="s">
        <v>51</v>
      </c>
      <c r="H4" s="206" t="s">
        <v>52</v>
      </c>
      <c r="I4" s="206" t="s">
        <v>53</v>
      </c>
      <c r="J4" s="206" t="s">
        <v>145</v>
      </c>
      <c r="K4" s="206" t="s">
        <v>54</v>
      </c>
      <c r="L4" s="206" t="s">
        <v>146</v>
      </c>
      <c r="M4" s="282"/>
      <c r="N4" s="283"/>
    </row>
    <row r="5" spans="1:14" ht="24" customHeight="1">
      <c r="A5" s="221"/>
      <c r="B5" s="221" t="s">
        <v>10</v>
      </c>
      <c r="C5" s="222" t="s">
        <v>11</v>
      </c>
      <c r="D5" s="220" t="s">
        <v>268</v>
      </c>
      <c r="E5" s="221" t="s">
        <v>270</v>
      </c>
      <c r="F5" s="221" t="s">
        <v>272</v>
      </c>
      <c r="G5" s="221" t="s">
        <v>226</v>
      </c>
      <c r="H5" s="221" t="s">
        <v>241</v>
      </c>
      <c r="I5" s="221" t="s">
        <v>242</v>
      </c>
      <c r="J5" s="221" t="s">
        <v>274</v>
      </c>
      <c r="K5" s="221" t="s">
        <v>244</v>
      </c>
      <c r="L5" s="221" t="s">
        <v>245</v>
      </c>
      <c r="M5" s="221"/>
      <c r="N5" s="222"/>
    </row>
    <row r="6" spans="1:14" ht="24" customHeight="1">
      <c r="A6" s="205" t="s">
        <v>263</v>
      </c>
      <c r="B6" s="223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5"/>
    </row>
    <row r="7" spans="1:14" ht="24" customHeight="1">
      <c r="A7" s="205" t="s">
        <v>18</v>
      </c>
      <c r="B7" s="223"/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5"/>
    </row>
    <row r="8" spans="1:14" ht="24" customHeight="1">
      <c r="A8" s="205" t="s">
        <v>19</v>
      </c>
      <c r="B8" s="223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5"/>
    </row>
    <row r="9" spans="1:14" ht="24" customHeight="1">
      <c r="A9" s="205" t="s">
        <v>20</v>
      </c>
      <c r="B9" s="223"/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5"/>
    </row>
    <row r="10" spans="1:14" ht="24" customHeight="1">
      <c r="A10" s="205" t="s">
        <v>21</v>
      </c>
      <c r="B10" s="223"/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5"/>
    </row>
    <row r="11" spans="1:14" ht="24" customHeight="1">
      <c r="A11" s="205" t="s">
        <v>22</v>
      </c>
      <c r="B11" s="223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5"/>
    </row>
    <row r="12" spans="1:14" ht="24" customHeight="1">
      <c r="A12" s="205" t="s">
        <v>23</v>
      </c>
      <c r="B12" s="223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5"/>
    </row>
    <row r="13" spans="1:14" ht="24" customHeight="1">
      <c r="A13" s="205" t="s">
        <v>24</v>
      </c>
      <c r="B13" s="223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5"/>
    </row>
    <row r="14" spans="1:14" ht="24" customHeight="1">
      <c r="A14" s="205" t="s">
        <v>25</v>
      </c>
      <c r="B14" s="223"/>
      <c r="C14" s="214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5"/>
    </row>
    <row r="15" spans="1:14" ht="24" customHeight="1">
      <c r="A15" s="205" t="s">
        <v>26</v>
      </c>
      <c r="B15" s="223"/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4"/>
      <c r="N15" s="215"/>
    </row>
    <row r="16" spans="1:14" ht="24" customHeight="1">
      <c r="A16" s="205" t="s">
        <v>27</v>
      </c>
      <c r="B16" s="223"/>
      <c r="C16" s="214"/>
      <c r="D16" s="214"/>
      <c r="E16" s="214"/>
      <c r="F16" s="214"/>
      <c r="G16" s="214"/>
      <c r="H16" s="214"/>
      <c r="I16" s="214"/>
      <c r="J16" s="214"/>
      <c r="K16" s="214"/>
      <c r="L16" s="214"/>
      <c r="M16" s="214"/>
      <c r="N16" s="215"/>
    </row>
    <row r="17" spans="1:15" ht="24" customHeight="1">
      <c r="A17" s="205" t="s">
        <v>28</v>
      </c>
      <c r="B17" s="22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5"/>
    </row>
    <row r="18" spans="1:15" ht="24" customHeight="1" thickBot="1">
      <c r="A18" s="210" t="s">
        <v>147</v>
      </c>
      <c r="B18" s="213"/>
      <c r="C18" s="211">
        <f t="shared" ref="C18:L18" si="0">SUM(C6:C17)</f>
        <v>0</v>
      </c>
      <c r="D18" s="211">
        <f t="shared" si="0"/>
        <v>0</v>
      </c>
      <c r="E18" s="211">
        <f t="shared" si="0"/>
        <v>0</v>
      </c>
      <c r="F18" s="211">
        <f t="shared" si="0"/>
        <v>0</v>
      </c>
      <c r="G18" s="211">
        <f t="shared" si="0"/>
        <v>0</v>
      </c>
      <c r="H18" s="211">
        <f t="shared" si="0"/>
        <v>0</v>
      </c>
      <c r="I18" s="211">
        <f t="shared" si="0"/>
        <v>0</v>
      </c>
      <c r="J18" s="211">
        <f t="shared" si="0"/>
        <v>0</v>
      </c>
      <c r="K18" s="211">
        <f t="shared" si="0"/>
        <v>0</v>
      </c>
      <c r="L18" s="211">
        <f t="shared" si="0"/>
        <v>0</v>
      </c>
      <c r="M18" s="211">
        <f>C18-D18-E18-G18-H18-I18-J18-K18-L18-F18</f>
        <v>0</v>
      </c>
      <c r="N18" s="212"/>
    </row>
    <row r="19" spans="1:15" ht="24" customHeight="1" thickBot="1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</row>
    <row r="20" spans="1:15" ht="24" customHeight="1">
      <c r="A20" s="260" t="s">
        <v>148</v>
      </c>
      <c r="B20" s="261"/>
      <c r="C20" s="261"/>
      <c r="D20" s="261"/>
      <c r="E20" s="262"/>
      <c r="F20" s="263" t="s">
        <v>149</v>
      </c>
      <c r="G20" s="262"/>
      <c r="H20" s="264">
        <f>M18</f>
        <v>0</v>
      </c>
      <c r="I20" s="264"/>
      <c r="J20" s="264" t="s">
        <v>150</v>
      </c>
      <c r="K20" s="266">
        <f>SUM(H20:I21)</f>
        <v>50000</v>
      </c>
      <c r="L20" s="266"/>
      <c r="M20" s="266"/>
      <c r="N20" s="267"/>
    </row>
    <row r="21" spans="1:15" ht="24" customHeight="1" thickBot="1">
      <c r="A21" s="270" t="s">
        <v>267</v>
      </c>
      <c r="B21" s="271"/>
      <c r="C21" s="271"/>
      <c r="D21" s="271"/>
      <c r="E21" s="272"/>
      <c r="F21" s="273" t="s">
        <v>149</v>
      </c>
      <c r="G21" s="272"/>
      <c r="H21" s="265">
        <v>50000</v>
      </c>
      <c r="I21" s="265"/>
      <c r="J21" s="265"/>
      <c r="K21" s="268"/>
      <c r="L21" s="268"/>
      <c r="M21" s="268"/>
      <c r="N21" s="269"/>
    </row>
    <row r="22" spans="1:15" ht="24" customHeight="1" thickBot="1">
      <c r="A22" s="253"/>
      <c r="B22" s="253"/>
      <c r="C22" s="253"/>
      <c r="D22" s="253"/>
      <c r="E22" s="253"/>
      <c r="F22" s="253"/>
      <c r="G22" s="208"/>
      <c r="H22" s="208"/>
      <c r="I22" s="208"/>
      <c r="J22" s="208"/>
      <c r="K22" s="208"/>
      <c r="L22" s="208"/>
      <c r="M22" s="208"/>
      <c r="N22" s="208"/>
    </row>
    <row r="23" spans="1:15" ht="39" customHeight="1">
      <c r="A23" s="254" t="s">
        <v>151</v>
      </c>
      <c r="B23" s="255"/>
      <c r="C23" s="256"/>
      <c r="D23" s="209">
        <f>C18</f>
        <v>0</v>
      </c>
      <c r="E23" s="95">
        <f>C19</f>
        <v>0</v>
      </c>
      <c r="F23" s="96"/>
      <c r="G23" s="257" t="s">
        <v>152</v>
      </c>
      <c r="H23" s="255"/>
      <c r="I23" s="95">
        <f>SUM(D18:F18)</f>
        <v>0</v>
      </c>
      <c r="J23" s="208"/>
      <c r="K23" s="254" t="s">
        <v>153</v>
      </c>
      <c r="L23" s="256"/>
      <c r="M23" s="97">
        <f>G18+H18+I18+J18+K18+L18</f>
        <v>0</v>
      </c>
      <c r="N23" s="98" t="e">
        <f>#REF!-50000</f>
        <v>#REF!</v>
      </c>
      <c r="O23" s="99"/>
    </row>
    <row r="24" spans="1:15" ht="32.1" customHeight="1">
      <c r="A24" s="239" t="s">
        <v>154</v>
      </c>
      <c r="B24" s="240"/>
      <c r="C24" s="241"/>
      <c r="D24" s="241" t="e">
        <f>#REF!</f>
        <v>#REF!</v>
      </c>
      <c r="E24" s="242"/>
      <c r="F24" s="208"/>
      <c r="G24" s="258" t="s">
        <v>155</v>
      </c>
      <c r="H24" s="259"/>
      <c r="I24" s="215">
        <f>73248</f>
        <v>73248</v>
      </c>
      <c r="J24" s="208"/>
      <c r="K24" s="239" t="s">
        <v>156</v>
      </c>
      <c r="L24" s="241"/>
      <c r="M24" s="237">
        <f>K20</f>
        <v>50000</v>
      </c>
      <c r="N24" s="238"/>
    </row>
    <row r="25" spans="1:15" ht="41.1" customHeight="1">
      <c r="A25" s="239" t="s">
        <v>276</v>
      </c>
      <c r="B25" s="240"/>
      <c r="C25" s="241"/>
      <c r="D25" s="241">
        <f>1380407.9</f>
        <v>1380407.9</v>
      </c>
      <c r="E25" s="242"/>
      <c r="F25" s="208"/>
      <c r="G25" s="243" t="s">
        <v>277</v>
      </c>
      <c r="H25" s="240"/>
      <c r="I25" s="100">
        <f>448297.42+22000</f>
        <v>470297.42</v>
      </c>
      <c r="J25" s="208"/>
      <c r="K25" s="244" t="s">
        <v>159</v>
      </c>
      <c r="L25" s="245"/>
      <c r="M25" s="214">
        <v>832761.48</v>
      </c>
      <c r="N25" s="215">
        <v>77349</v>
      </c>
    </row>
    <row r="26" spans="1:15" ht="20.100000000000001" customHeight="1" thickBot="1">
      <c r="A26" s="246"/>
      <c r="B26" s="247"/>
      <c r="C26" s="248"/>
      <c r="D26" s="248" t="e">
        <f>D23+D24-D25+E23</f>
        <v>#REF!</v>
      </c>
      <c r="E26" s="249"/>
      <c r="F26" s="208"/>
      <c r="G26" s="250"/>
      <c r="H26" s="247"/>
      <c r="I26" s="212">
        <f>I23+I24-I25</f>
        <v>-397049.42</v>
      </c>
      <c r="J26" s="208"/>
      <c r="K26" s="246"/>
      <c r="L26" s="248"/>
      <c r="M26" s="251" t="e">
        <f>M23+N23+M24-(M25+N25)</f>
        <v>#REF!</v>
      </c>
      <c r="N26" s="252"/>
    </row>
    <row r="27" spans="1:15">
      <c r="I27" s="83"/>
    </row>
    <row r="28" spans="1:15">
      <c r="I28" s="83"/>
    </row>
    <row r="29" spans="1:15">
      <c r="I29" s="83"/>
    </row>
  </sheetData>
  <mergeCells count="35">
    <mergeCell ref="A1:N1"/>
    <mergeCell ref="A2:A4"/>
    <mergeCell ref="B2:L2"/>
    <mergeCell ref="B3:C3"/>
    <mergeCell ref="D3:F3"/>
    <mergeCell ref="G3:K3"/>
    <mergeCell ref="M3:M4"/>
    <mergeCell ref="N3:N4"/>
    <mergeCell ref="A20:E20"/>
    <mergeCell ref="F20:G20"/>
    <mergeCell ref="H20:I20"/>
    <mergeCell ref="J20:J21"/>
    <mergeCell ref="K20:N21"/>
    <mergeCell ref="A21:E21"/>
    <mergeCell ref="F21:G21"/>
    <mergeCell ref="H21:I21"/>
    <mergeCell ref="A22:C22"/>
    <mergeCell ref="D22:F22"/>
    <mergeCell ref="A23:C23"/>
    <mergeCell ref="G23:H23"/>
    <mergeCell ref="K23:L23"/>
    <mergeCell ref="A26:C26"/>
    <mergeCell ref="D26:E26"/>
    <mergeCell ref="G26:H26"/>
    <mergeCell ref="K26:L26"/>
    <mergeCell ref="M26:N26"/>
    <mergeCell ref="M24:N24"/>
    <mergeCell ref="A25:C25"/>
    <mergeCell ref="D25:E25"/>
    <mergeCell ref="G25:H25"/>
    <mergeCell ref="K25:L25"/>
    <mergeCell ref="A24:C24"/>
    <mergeCell ref="D24:E24"/>
    <mergeCell ref="G24:H24"/>
    <mergeCell ref="K24:L24"/>
  </mergeCells>
  <phoneticPr fontId="29" type="noConversion"/>
  <pageMargins left="7.7777777777777807E-2" right="0.196527777777778" top="0.235416666666667" bottom="7.7777777777777807E-2" header="0.3" footer="0.3"/>
  <pageSetup paperSize="9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379-858A-4F18-8783-D722AA8C66BA}">
  <sheetPr codeName="Sheet9"/>
  <dimension ref="A1:O32"/>
  <sheetViews>
    <sheetView workbookViewId="0">
      <pane ySplit="4" topLeftCell="A5" activePane="bottomLeft" state="frozen"/>
      <selection pane="bottomLeft" activeCell="H16" sqref="H16"/>
    </sheetView>
  </sheetViews>
  <sheetFormatPr defaultColWidth="9" defaultRowHeight="13.5"/>
  <cols>
    <col min="1" max="2" width="10.75" style="82" customWidth="1"/>
    <col min="3" max="10" width="10.375" style="82" customWidth="1"/>
    <col min="11" max="11" width="10.375" style="83" customWidth="1"/>
    <col min="12" max="12" width="10.875" style="82" customWidth="1"/>
    <col min="13" max="13" width="10.375" style="83" customWidth="1"/>
    <col min="14" max="14" width="10.375" style="82" customWidth="1"/>
    <col min="15" max="23" width="6.75" style="82" customWidth="1"/>
    <col min="24" max="16384" width="9" style="82"/>
  </cols>
  <sheetData>
    <row r="1" spans="1:14" ht="22.5">
      <c r="A1" s="274" t="str">
        <f>'01单据录入'!F1&amp;"年台帐明细总计"</f>
        <v>2021年台帐明细总计</v>
      </c>
      <c r="B1" s="275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7"/>
    </row>
    <row r="2" spans="1:14" ht="18.95" customHeight="1">
      <c r="A2" s="278" t="s">
        <v>30</v>
      </c>
      <c r="B2" s="279" t="s">
        <v>275</v>
      </c>
      <c r="C2" s="280"/>
      <c r="D2" s="280"/>
      <c r="E2" s="280"/>
      <c r="F2" s="280"/>
      <c r="G2" s="280"/>
      <c r="H2" s="280"/>
      <c r="I2" s="280"/>
      <c r="J2" s="280"/>
      <c r="K2" s="280"/>
      <c r="L2" s="281"/>
      <c r="M2" s="84"/>
      <c r="N2" s="85"/>
    </row>
    <row r="3" spans="1:14">
      <c r="A3" s="278"/>
      <c r="B3" s="279" t="s">
        <v>4</v>
      </c>
      <c r="C3" s="281"/>
      <c r="D3" s="282" t="s">
        <v>143</v>
      </c>
      <c r="E3" s="282"/>
      <c r="F3" s="282"/>
      <c r="G3" s="282" t="s">
        <v>144</v>
      </c>
      <c r="H3" s="282"/>
      <c r="I3" s="282"/>
      <c r="J3" s="282"/>
      <c r="K3" s="282"/>
      <c r="L3" s="84"/>
      <c r="M3" s="282" t="s">
        <v>50</v>
      </c>
      <c r="N3" s="283" t="s">
        <v>9</v>
      </c>
    </row>
    <row r="4" spans="1:14" ht="24" customHeight="1">
      <c r="A4" s="278"/>
      <c r="B4" s="223" t="s">
        <v>10</v>
      </c>
      <c r="C4" s="224" t="s">
        <v>11</v>
      </c>
      <c r="D4" s="84" t="s">
        <v>269</v>
      </c>
      <c r="E4" s="84" t="s">
        <v>271</v>
      </c>
      <c r="F4" s="84" t="s">
        <v>273</v>
      </c>
      <c r="G4" s="84" t="s">
        <v>51</v>
      </c>
      <c r="H4" s="84" t="s">
        <v>52</v>
      </c>
      <c r="I4" s="84" t="s">
        <v>53</v>
      </c>
      <c r="J4" s="84" t="s">
        <v>145</v>
      </c>
      <c r="K4" s="84" t="s">
        <v>54</v>
      </c>
      <c r="L4" s="84" t="s">
        <v>146</v>
      </c>
      <c r="M4" s="282"/>
      <c r="N4" s="283"/>
    </row>
    <row r="5" spans="1:14" ht="24" customHeight="1">
      <c r="A5" s="221"/>
      <c r="B5" s="221" t="s">
        <v>10</v>
      </c>
      <c r="C5" s="222" t="s">
        <v>11</v>
      </c>
      <c r="D5" s="220" t="s">
        <v>268</v>
      </c>
      <c r="E5" s="221" t="s">
        <v>270</v>
      </c>
      <c r="F5" s="221" t="s">
        <v>272</v>
      </c>
      <c r="G5" s="221" t="s">
        <v>226</v>
      </c>
      <c r="H5" s="221" t="s">
        <v>241</v>
      </c>
      <c r="I5" s="221" t="s">
        <v>242</v>
      </c>
      <c r="J5" s="221" t="s">
        <v>274</v>
      </c>
      <c r="K5" s="221" t="s">
        <v>244</v>
      </c>
      <c r="L5" s="221" t="s">
        <v>245</v>
      </c>
      <c r="M5" s="221"/>
      <c r="N5" s="222"/>
    </row>
    <row r="6" spans="1:14" ht="24" customHeight="1">
      <c r="A6" s="86" t="s">
        <v>263</v>
      </c>
      <c r="B6" s="223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8"/>
    </row>
    <row r="7" spans="1:14" ht="24" customHeight="1">
      <c r="A7" s="193" t="s">
        <v>18</v>
      </c>
      <c r="B7" s="223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8"/>
    </row>
    <row r="8" spans="1:14" ht="24" customHeight="1">
      <c r="A8" s="193" t="s">
        <v>19</v>
      </c>
      <c r="B8" s="223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8"/>
    </row>
    <row r="9" spans="1:14" ht="24" customHeight="1">
      <c r="A9" s="193" t="s">
        <v>20</v>
      </c>
      <c r="B9" s="223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8"/>
    </row>
    <row r="10" spans="1:14" ht="24" customHeight="1">
      <c r="A10" s="193" t="s">
        <v>21</v>
      </c>
      <c r="B10" s="223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8"/>
    </row>
    <row r="11" spans="1:14" ht="24" customHeight="1">
      <c r="A11" s="193" t="s">
        <v>22</v>
      </c>
      <c r="B11" s="223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8"/>
    </row>
    <row r="12" spans="1:14" ht="24" customHeight="1">
      <c r="A12" s="193" t="s">
        <v>23</v>
      </c>
      <c r="B12" s="223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8"/>
    </row>
    <row r="13" spans="1:14" ht="24" customHeight="1">
      <c r="A13" s="193" t="s">
        <v>24</v>
      </c>
      <c r="B13" s="223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8"/>
    </row>
    <row r="14" spans="1:14" ht="24" customHeight="1">
      <c r="A14" s="193" t="s">
        <v>25</v>
      </c>
      <c r="B14" s="223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8"/>
    </row>
    <row r="15" spans="1:14" ht="24" customHeight="1">
      <c r="A15" s="193" t="s">
        <v>26</v>
      </c>
      <c r="B15" s="223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8"/>
    </row>
    <row r="16" spans="1:14" ht="24" customHeight="1">
      <c r="A16" s="193" t="s">
        <v>27</v>
      </c>
      <c r="B16" s="223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8"/>
    </row>
    <row r="17" spans="1:15" ht="24" customHeight="1">
      <c r="A17" s="193" t="s">
        <v>28</v>
      </c>
      <c r="B17" s="223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8"/>
    </row>
    <row r="18" spans="1:15" ht="24" customHeight="1" thickBot="1">
      <c r="A18" s="89" t="s">
        <v>147</v>
      </c>
      <c r="B18" s="213"/>
      <c r="C18" s="90">
        <f t="shared" ref="C18:L18" si="0">SUM(C6:C17)</f>
        <v>0</v>
      </c>
      <c r="D18" s="90">
        <f t="shared" si="0"/>
        <v>0</v>
      </c>
      <c r="E18" s="90">
        <f t="shared" si="0"/>
        <v>0</v>
      </c>
      <c r="F18" s="90">
        <f t="shared" si="0"/>
        <v>0</v>
      </c>
      <c r="G18" s="90">
        <f t="shared" si="0"/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>C18-D18-E18-G18-H18-I18-J18-K18-L18-F18</f>
        <v>0</v>
      </c>
      <c r="N18" s="91"/>
    </row>
    <row r="19" spans="1:15" ht="24" customHeight="1" thickBot="1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</row>
    <row r="20" spans="1:15" ht="24" customHeight="1">
      <c r="A20" s="260" t="s">
        <v>148</v>
      </c>
      <c r="B20" s="261"/>
      <c r="C20" s="261"/>
      <c r="D20" s="261"/>
      <c r="E20" s="262"/>
      <c r="F20" s="263" t="s">
        <v>149</v>
      </c>
      <c r="G20" s="262"/>
      <c r="H20" s="264">
        <f>M18</f>
        <v>0</v>
      </c>
      <c r="I20" s="264"/>
      <c r="J20" s="264" t="s">
        <v>150</v>
      </c>
      <c r="K20" s="266">
        <f>SUM(H20:I21)</f>
        <v>50000</v>
      </c>
      <c r="L20" s="266"/>
      <c r="M20" s="266"/>
      <c r="N20" s="267"/>
    </row>
    <row r="21" spans="1:15" ht="24" customHeight="1" thickBot="1">
      <c r="A21" s="270" t="s">
        <v>267</v>
      </c>
      <c r="B21" s="271"/>
      <c r="C21" s="271"/>
      <c r="D21" s="271"/>
      <c r="E21" s="272"/>
      <c r="F21" s="273" t="s">
        <v>149</v>
      </c>
      <c r="G21" s="272"/>
      <c r="H21" s="265">
        <v>50000</v>
      </c>
      <c r="I21" s="265"/>
      <c r="J21" s="265"/>
      <c r="K21" s="268"/>
      <c r="L21" s="268"/>
      <c r="M21" s="268"/>
      <c r="N21" s="269"/>
    </row>
    <row r="22" spans="1:15" ht="24" customHeight="1" thickBot="1">
      <c r="A22" s="253"/>
      <c r="B22" s="253"/>
      <c r="C22" s="253"/>
      <c r="D22" s="253"/>
      <c r="E22" s="253"/>
      <c r="F22" s="253"/>
      <c r="G22" s="93"/>
      <c r="H22" s="93"/>
      <c r="I22" s="93"/>
      <c r="J22" s="93"/>
      <c r="K22" s="93"/>
      <c r="L22" s="93"/>
      <c r="M22" s="93"/>
      <c r="N22" s="93"/>
    </row>
    <row r="23" spans="1:15" ht="39" customHeight="1">
      <c r="A23" s="254" t="s">
        <v>151</v>
      </c>
      <c r="B23" s="255"/>
      <c r="C23" s="256"/>
      <c r="D23" s="94">
        <f>C18</f>
        <v>0</v>
      </c>
      <c r="E23" s="95">
        <f>C19</f>
        <v>0</v>
      </c>
      <c r="F23" s="96"/>
      <c r="G23" s="257" t="s">
        <v>152</v>
      </c>
      <c r="H23" s="255"/>
      <c r="I23" s="95">
        <f>SUM(D18:F18)</f>
        <v>0</v>
      </c>
      <c r="J23" s="93"/>
      <c r="K23" s="254" t="s">
        <v>153</v>
      </c>
      <c r="L23" s="256"/>
      <c r="M23" s="97">
        <f>G18+H18+I18+J18+K18+L18</f>
        <v>0</v>
      </c>
      <c r="N23" s="98" t="e">
        <f>#REF!-50000</f>
        <v>#REF!</v>
      </c>
      <c r="O23" s="99"/>
    </row>
    <row r="24" spans="1:15" ht="32.1" customHeight="1">
      <c r="A24" s="239" t="s">
        <v>154</v>
      </c>
      <c r="B24" s="240"/>
      <c r="C24" s="241"/>
      <c r="D24" s="241" t="e">
        <f>#REF!</f>
        <v>#REF!</v>
      </c>
      <c r="E24" s="242"/>
      <c r="F24" s="93"/>
      <c r="G24" s="258" t="s">
        <v>155</v>
      </c>
      <c r="H24" s="259"/>
      <c r="I24" s="88">
        <f>73248</f>
        <v>73248</v>
      </c>
      <c r="J24" s="93"/>
      <c r="K24" s="239" t="s">
        <v>156</v>
      </c>
      <c r="L24" s="241"/>
      <c r="M24" s="237">
        <f>K20</f>
        <v>50000</v>
      </c>
      <c r="N24" s="238"/>
    </row>
    <row r="25" spans="1:15" ht="41.1" customHeight="1">
      <c r="A25" s="239" t="s">
        <v>157</v>
      </c>
      <c r="B25" s="240"/>
      <c r="C25" s="241"/>
      <c r="D25" s="241">
        <f>1380407.9</f>
        <v>1380407.9</v>
      </c>
      <c r="E25" s="242"/>
      <c r="F25" s="93"/>
      <c r="G25" s="243" t="s">
        <v>158</v>
      </c>
      <c r="H25" s="240"/>
      <c r="I25" s="100">
        <f>448297.42+22000</f>
        <v>470297.42</v>
      </c>
      <c r="J25" s="93"/>
      <c r="K25" s="244" t="s">
        <v>159</v>
      </c>
      <c r="L25" s="245"/>
      <c r="M25" s="87">
        <v>832761.48</v>
      </c>
      <c r="N25" s="88">
        <v>77349</v>
      </c>
    </row>
    <row r="26" spans="1:15" ht="27.95" hidden="1" customHeight="1">
      <c r="A26" s="101"/>
      <c r="B26" s="216"/>
      <c r="C26" s="87"/>
      <c r="D26" s="87"/>
      <c r="E26" s="88"/>
      <c r="F26" s="93"/>
      <c r="G26" s="102"/>
      <c r="H26" s="87"/>
      <c r="I26" s="88" t="s">
        <v>160</v>
      </c>
      <c r="J26" s="93"/>
      <c r="K26" s="101"/>
      <c r="L26" s="87"/>
      <c r="M26" s="87">
        <v>77349</v>
      </c>
      <c r="N26" s="88"/>
    </row>
    <row r="27" spans="1:15" hidden="1">
      <c r="A27" s="101"/>
      <c r="B27" s="216"/>
      <c r="C27" s="87"/>
      <c r="D27" s="87"/>
      <c r="E27" s="88"/>
      <c r="F27" s="93"/>
      <c r="G27" s="101"/>
      <c r="H27" s="87"/>
      <c r="I27" s="88"/>
      <c r="J27" s="93"/>
      <c r="K27" s="101"/>
      <c r="L27" s="87"/>
      <c r="M27" s="87"/>
      <c r="N27" s="88"/>
    </row>
    <row r="28" spans="1:15" hidden="1">
      <c r="A28" s="101"/>
      <c r="B28" s="216"/>
      <c r="C28" s="87"/>
      <c r="D28" s="87"/>
      <c r="E28" s="88"/>
      <c r="F28" s="93"/>
      <c r="G28" s="101"/>
      <c r="H28" s="87"/>
      <c r="I28" s="88"/>
      <c r="J28" s="93"/>
      <c r="K28" s="101"/>
      <c r="L28" s="87"/>
      <c r="M28" s="87"/>
      <c r="N28" s="88"/>
    </row>
    <row r="29" spans="1:15" ht="20.100000000000001" customHeight="1" thickBot="1">
      <c r="A29" s="246"/>
      <c r="B29" s="247"/>
      <c r="C29" s="248"/>
      <c r="D29" s="248" t="e">
        <f>D23+D24-D25+E23</f>
        <v>#REF!</v>
      </c>
      <c r="E29" s="249"/>
      <c r="F29" s="93"/>
      <c r="G29" s="250"/>
      <c r="H29" s="247"/>
      <c r="I29" s="91">
        <f>I23+I24-I25</f>
        <v>-397049.42</v>
      </c>
      <c r="J29" s="93"/>
      <c r="K29" s="246"/>
      <c r="L29" s="248"/>
      <c r="M29" s="251" t="e">
        <f>M23+N23+M24-(M25+N25)</f>
        <v>#REF!</v>
      </c>
      <c r="N29" s="252"/>
    </row>
    <row r="30" spans="1:15">
      <c r="I30" s="83"/>
    </row>
    <row r="31" spans="1:15">
      <c r="I31" s="83"/>
    </row>
    <row r="32" spans="1:15">
      <c r="I32" s="83"/>
    </row>
  </sheetData>
  <mergeCells count="35">
    <mergeCell ref="M24:N24"/>
    <mergeCell ref="A25:C25"/>
    <mergeCell ref="D25:E25"/>
    <mergeCell ref="G25:H25"/>
    <mergeCell ref="K25:L25"/>
    <mergeCell ref="A24:C24"/>
    <mergeCell ref="D24:E24"/>
    <mergeCell ref="G24:H24"/>
    <mergeCell ref="K24:L24"/>
    <mergeCell ref="A29:C29"/>
    <mergeCell ref="D29:E29"/>
    <mergeCell ref="G29:H29"/>
    <mergeCell ref="K29:L29"/>
    <mergeCell ref="M29:N29"/>
    <mergeCell ref="A22:C22"/>
    <mergeCell ref="D22:F22"/>
    <mergeCell ref="A23:C23"/>
    <mergeCell ref="G23:H23"/>
    <mergeCell ref="K23:L23"/>
    <mergeCell ref="A20:E20"/>
    <mergeCell ref="F20:G20"/>
    <mergeCell ref="H20:I20"/>
    <mergeCell ref="J20:J21"/>
    <mergeCell ref="K20:N21"/>
    <mergeCell ref="A21:E21"/>
    <mergeCell ref="F21:G21"/>
    <mergeCell ref="H21:I21"/>
    <mergeCell ref="A1:N1"/>
    <mergeCell ref="A2:A4"/>
    <mergeCell ref="D3:F3"/>
    <mergeCell ref="G3:K3"/>
    <mergeCell ref="M3:M4"/>
    <mergeCell ref="N3:N4"/>
    <mergeCell ref="B3:C3"/>
    <mergeCell ref="B2:L2"/>
  </mergeCells>
  <phoneticPr fontId="29" type="noConversion"/>
  <pageMargins left="7.7777777777777807E-2" right="0.196527777777778" top="0.235416666666667" bottom="7.7777777777777807E-2" header="0.3" footer="0.3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624F-B005-4090-84EC-7630FE620B93}">
  <sheetPr codeName="Sheet11"/>
  <dimension ref="A1:X200"/>
  <sheetViews>
    <sheetView workbookViewId="0">
      <selection activeCell="G10" sqref="G10"/>
    </sheetView>
  </sheetViews>
  <sheetFormatPr defaultColWidth="9" defaultRowHeight="13.5"/>
  <cols>
    <col min="1" max="1" width="4.5" style="83" customWidth="1"/>
    <col min="2" max="2" width="10.75" style="219" customWidth="1"/>
    <col min="3" max="3" width="21.75" style="106" customWidth="1"/>
    <col min="4" max="4" width="6.25" style="106" hidden="1" customWidth="1"/>
    <col min="5" max="5" width="8.625" style="202" customWidth="1"/>
    <col min="6" max="6" width="10.75" style="105" customWidth="1"/>
    <col min="7" max="7" width="24" style="105" customWidth="1"/>
    <col min="8" max="8" width="8.75" style="82" customWidth="1"/>
    <col min="9" max="9" width="4.25" style="82" hidden="1" customWidth="1"/>
    <col min="10" max="11" width="8.375" style="82" hidden="1" customWidth="1"/>
    <col min="12" max="13" width="12.5" style="82" customWidth="1"/>
    <col min="14" max="17" width="11.125" style="82" customWidth="1"/>
    <col min="18" max="18" width="8.75" style="82" customWidth="1"/>
    <col min="19" max="19" width="9.375" style="82" customWidth="1"/>
    <col min="20" max="20" width="12.375" style="82" customWidth="1"/>
    <col min="21" max="21" width="12.5" style="83" customWidth="1"/>
    <col min="22" max="22" width="8.75" style="82" customWidth="1"/>
    <col min="23" max="23" width="12.25" style="83" customWidth="1"/>
    <col min="24" max="24" width="14.75" style="106" customWidth="1"/>
    <col min="25" max="16384" width="9" style="82"/>
  </cols>
  <sheetData>
    <row r="1" spans="1:24" ht="43.5" customHeight="1">
      <c r="A1" s="103"/>
      <c r="B1" s="217" t="s">
        <v>249</v>
      </c>
      <c r="C1" s="203" t="s">
        <v>266</v>
      </c>
      <c r="D1" s="178"/>
      <c r="E1" s="199"/>
      <c r="F1" s="196" t="str">
        <f>"收入合计："&amp;TEXT(SUBTOTAL(9,K5:L4999),"0.00")</f>
        <v>收入合计：0.00</v>
      </c>
      <c r="G1" s="178"/>
      <c r="H1" s="179"/>
      <c r="I1" s="179"/>
      <c r="J1" s="179"/>
      <c r="L1" s="284" t="str">
        <f>"支出合计："&amp;TEXT(SUBTOTAL(9,N5:V4999),"0.00")</f>
        <v>支出合计：4369.20</v>
      </c>
      <c r="M1" s="284"/>
      <c r="N1" s="284"/>
      <c r="P1" s="285" t="str">
        <f>"账户余额："&amp;(W5+SUBTOTAL(9,L5:M4999)-SUBTOTAL(9,N5:V4999))</f>
        <v>账户余额：172027.56</v>
      </c>
      <c r="Q1" s="285"/>
      <c r="R1" s="285"/>
      <c r="S1" s="107"/>
      <c r="T1" s="108"/>
      <c r="U1" s="286" t="s">
        <v>250</v>
      </c>
      <c r="V1" s="286"/>
      <c r="W1" s="286" t="s">
        <v>219</v>
      </c>
      <c r="X1" s="286"/>
    </row>
    <row r="2" spans="1:24" ht="13.5" customHeight="1">
      <c r="A2" s="288" t="s">
        <v>173</v>
      </c>
      <c r="B2" s="288"/>
      <c r="C2" s="288"/>
      <c r="D2" s="288"/>
      <c r="E2" s="288"/>
      <c r="F2" s="288"/>
      <c r="G2" s="288"/>
      <c r="H2" s="288"/>
      <c r="I2" s="292"/>
      <c r="J2" s="180">
        <f t="shared" ref="J2:V2" si="0">SUM(J5:J4999)</f>
        <v>0</v>
      </c>
      <c r="K2" s="180">
        <f t="shared" si="0"/>
        <v>0</v>
      </c>
      <c r="L2" s="181">
        <f t="shared" si="0"/>
        <v>0</v>
      </c>
      <c r="M2" s="181">
        <f t="shared" si="0"/>
        <v>0</v>
      </c>
      <c r="N2" s="181">
        <f t="shared" si="0"/>
        <v>4369.2</v>
      </c>
      <c r="O2" s="181">
        <f t="shared" si="0"/>
        <v>0</v>
      </c>
      <c r="P2" s="181">
        <f t="shared" si="0"/>
        <v>0</v>
      </c>
      <c r="Q2" s="181">
        <f t="shared" si="0"/>
        <v>0</v>
      </c>
      <c r="R2" s="181">
        <f t="shared" si="0"/>
        <v>0</v>
      </c>
      <c r="S2" s="181">
        <f t="shared" si="0"/>
        <v>0</v>
      </c>
      <c r="T2" s="181">
        <f t="shared" si="0"/>
        <v>0</v>
      </c>
      <c r="U2" s="181">
        <f t="shared" si="0"/>
        <v>0</v>
      </c>
      <c r="V2" s="181">
        <f t="shared" si="0"/>
        <v>0</v>
      </c>
      <c r="W2" s="183"/>
      <c r="X2" s="182"/>
    </row>
    <row r="3" spans="1:24" ht="21.75" customHeight="1">
      <c r="A3" s="293" t="s">
        <v>45</v>
      </c>
      <c r="B3" s="295" t="s">
        <v>40</v>
      </c>
      <c r="C3" s="293" t="s">
        <v>42</v>
      </c>
      <c r="D3" s="293" t="s">
        <v>41</v>
      </c>
      <c r="E3" s="293" t="s">
        <v>39</v>
      </c>
      <c r="F3" s="293" t="s">
        <v>183</v>
      </c>
      <c r="G3" s="293" t="s">
        <v>44</v>
      </c>
      <c r="H3" s="293" t="s">
        <v>182</v>
      </c>
      <c r="I3" s="293" t="s">
        <v>46</v>
      </c>
      <c r="J3" s="290" t="s">
        <v>167</v>
      </c>
      <c r="K3" s="290" t="s">
        <v>168</v>
      </c>
      <c r="L3" s="287" t="s">
        <v>169</v>
      </c>
      <c r="M3" s="292"/>
      <c r="N3" s="287" t="s">
        <v>259</v>
      </c>
      <c r="O3" s="288"/>
      <c r="P3" s="288"/>
      <c r="Q3" s="289" t="s">
        <v>166</v>
      </c>
      <c r="R3" s="289"/>
      <c r="S3" s="289"/>
      <c r="T3" s="289"/>
      <c r="U3" s="289"/>
      <c r="V3" s="289"/>
      <c r="W3" s="184"/>
      <c r="X3" s="185"/>
    </row>
    <row r="4" spans="1:24" ht="30.75" customHeight="1">
      <c r="A4" s="294" t="s">
        <v>45</v>
      </c>
      <c r="B4" s="296"/>
      <c r="C4" s="294"/>
      <c r="D4" s="294"/>
      <c r="E4" s="294"/>
      <c r="F4" s="294"/>
      <c r="G4" s="294"/>
      <c r="H4" s="294" t="s">
        <v>164</v>
      </c>
      <c r="I4" s="294" t="s">
        <v>164</v>
      </c>
      <c r="J4" s="291" t="s">
        <v>167</v>
      </c>
      <c r="K4" s="291" t="s">
        <v>168</v>
      </c>
      <c r="L4" s="182" t="s">
        <v>10</v>
      </c>
      <c r="M4" s="182" t="s">
        <v>11</v>
      </c>
      <c r="N4" s="182" t="s">
        <v>260</v>
      </c>
      <c r="O4" s="182" t="s">
        <v>261</v>
      </c>
      <c r="P4" s="182" t="s">
        <v>262</v>
      </c>
      <c r="Q4" s="182" t="s">
        <v>248</v>
      </c>
      <c r="R4" s="182" t="s">
        <v>177</v>
      </c>
      <c r="S4" s="182" t="s">
        <v>53</v>
      </c>
      <c r="T4" s="182" t="s">
        <v>180</v>
      </c>
      <c r="U4" s="182" t="s">
        <v>54</v>
      </c>
      <c r="V4" s="182" t="s">
        <v>178</v>
      </c>
      <c r="W4" s="186" t="s">
        <v>170</v>
      </c>
      <c r="X4" s="186" t="s">
        <v>172</v>
      </c>
    </row>
    <row r="5" spans="1:24" ht="16.5">
      <c r="A5" s="82"/>
      <c r="B5" s="297" t="s">
        <v>55</v>
      </c>
      <c r="C5" s="298"/>
      <c r="D5" s="298"/>
      <c r="E5" s="298"/>
      <c r="F5" s="298"/>
      <c r="G5" s="298"/>
      <c r="H5" s="298"/>
      <c r="I5" s="299"/>
      <c r="J5" s="187"/>
      <c r="K5" s="188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>
        <v>176396.76</v>
      </c>
      <c r="X5" s="189"/>
    </row>
    <row r="6" spans="1:24" customFormat="1" hidden="1">
      <c r="A6" t="s">
        <v>7</v>
      </c>
      <c r="B6" s="164" t="s">
        <v>30</v>
      </c>
      <c r="C6" s="197" t="s">
        <v>49</v>
      </c>
      <c r="D6" t="s">
        <v>235</v>
      </c>
      <c r="E6" s="200" t="s">
        <v>227</v>
      </c>
      <c r="F6" t="s">
        <v>228</v>
      </c>
      <c r="G6" t="s">
        <v>229</v>
      </c>
      <c r="H6" t="s">
        <v>231</v>
      </c>
      <c r="I6" t="s">
        <v>230</v>
      </c>
      <c r="J6" t="s">
        <v>247</v>
      </c>
      <c r="K6" t="s">
        <v>246</v>
      </c>
      <c r="L6" t="s">
        <v>10</v>
      </c>
      <c r="M6" t="s">
        <v>11</v>
      </c>
      <c r="N6" t="s">
        <v>220</v>
      </c>
      <c r="O6" t="s">
        <v>239</v>
      </c>
      <c r="P6" t="s">
        <v>240</v>
      </c>
      <c r="Q6" t="s">
        <v>226</v>
      </c>
      <c r="R6" t="s">
        <v>241</v>
      </c>
      <c r="S6" t="s">
        <v>242</v>
      </c>
      <c r="T6" t="s">
        <v>243</v>
      </c>
      <c r="U6" t="s">
        <v>244</v>
      </c>
      <c r="V6" t="s">
        <v>245</v>
      </c>
      <c r="X6" t="s">
        <v>233</v>
      </c>
    </row>
    <row r="7" spans="1:24" ht="16.5">
      <c r="A7" s="143">
        <v>1</v>
      </c>
      <c r="B7" s="218">
        <v>44332</v>
      </c>
      <c r="C7" s="198" t="s">
        <v>161</v>
      </c>
      <c r="D7" s="190" t="s">
        <v>221</v>
      </c>
      <c r="E7" s="201" t="s">
        <v>162</v>
      </c>
      <c r="F7" s="190" t="s">
        <v>195</v>
      </c>
      <c r="G7" s="190" t="s">
        <v>196</v>
      </c>
      <c r="H7" s="143" t="s">
        <v>225</v>
      </c>
      <c r="I7" s="143" t="s">
        <v>59</v>
      </c>
      <c r="J7" s="191"/>
      <c r="K7" s="192"/>
      <c r="L7" s="191"/>
      <c r="M7" s="191"/>
      <c r="N7" s="191">
        <v>1184.5999999999999</v>
      </c>
      <c r="O7" s="191"/>
      <c r="P7" s="191"/>
      <c r="Q7" s="191"/>
      <c r="R7" s="191"/>
      <c r="S7" s="191"/>
      <c r="T7" s="191"/>
      <c r="U7" s="191"/>
      <c r="V7" s="191"/>
      <c r="W7" s="191">
        <v>165212.16</v>
      </c>
      <c r="X7" s="190"/>
    </row>
    <row r="8" spans="1:24" ht="18.75" customHeight="1">
      <c r="A8" s="143">
        <v>2</v>
      </c>
      <c r="B8" s="218">
        <v>44332</v>
      </c>
      <c r="C8" s="198" t="s">
        <v>223</v>
      </c>
      <c r="D8" s="190" t="s">
        <v>221</v>
      </c>
      <c r="E8" s="201" t="s">
        <v>162</v>
      </c>
      <c r="F8" s="190" t="s">
        <v>195</v>
      </c>
      <c r="G8" s="190" t="s">
        <v>196</v>
      </c>
      <c r="H8" s="143" t="s">
        <v>77</v>
      </c>
      <c r="I8" s="143"/>
      <c r="J8" s="191"/>
      <c r="K8" s="192"/>
      <c r="L8" s="191"/>
      <c r="M8" s="191"/>
      <c r="N8" s="191">
        <v>1000</v>
      </c>
      <c r="O8" s="191"/>
      <c r="P8" s="191"/>
      <c r="Q8" s="191"/>
      <c r="R8" s="191"/>
      <c r="S8" s="191"/>
      <c r="T8" s="191"/>
      <c r="U8" s="191"/>
      <c r="V8" s="191"/>
      <c r="W8" s="191">
        <v>164212.16</v>
      </c>
      <c r="X8" s="190"/>
    </row>
    <row r="9" spans="1:24" ht="18.75" customHeight="1">
      <c r="A9" s="143">
        <v>3</v>
      </c>
      <c r="B9" s="218">
        <v>44332</v>
      </c>
      <c r="C9" s="198" t="s">
        <v>161</v>
      </c>
      <c r="D9" s="190" t="s">
        <v>221</v>
      </c>
      <c r="E9" s="201" t="s">
        <v>162</v>
      </c>
      <c r="F9" s="190" t="s">
        <v>195</v>
      </c>
      <c r="G9" s="190" t="s">
        <v>196</v>
      </c>
      <c r="H9" s="143" t="s">
        <v>225</v>
      </c>
      <c r="I9" s="143" t="s">
        <v>59</v>
      </c>
      <c r="J9" s="191"/>
      <c r="K9" s="192"/>
      <c r="L9" s="191"/>
      <c r="M9" s="191"/>
      <c r="N9" s="191">
        <v>1184.5999999999999</v>
      </c>
      <c r="O9" s="191"/>
      <c r="P9" s="191"/>
      <c r="Q9" s="191"/>
      <c r="R9" s="191"/>
      <c r="S9" s="191"/>
      <c r="T9" s="191"/>
      <c r="U9" s="191"/>
      <c r="V9" s="191"/>
      <c r="W9" s="191">
        <v>163027.56</v>
      </c>
      <c r="X9" s="190"/>
    </row>
    <row r="10" spans="1:24" ht="18.75" customHeight="1">
      <c r="A10" s="143">
        <v>4</v>
      </c>
      <c r="B10" s="218">
        <v>44332</v>
      </c>
      <c r="C10" s="198" t="s">
        <v>223</v>
      </c>
      <c r="D10" s="190" t="s">
        <v>221</v>
      </c>
      <c r="E10" s="201" t="s">
        <v>162</v>
      </c>
      <c r="F10" s="190" t="s">
        <v>195</v>
      </c>
      <c r="G10" s="190" t="s">
        <v>196</v>
      </c>
      <c r="H10" s="143" t="s">
        <v>77</v>
      </c>
      <c r="I10" s="143"/>
      <c r="J10" s="191"/>
      <c r="K10" s="192"/>
      <c r="L10" s="191"/>
      <c r="M10" s="191"/>
      <c r="N10" s="191">
        <v>1000</v>
      </c>
      <c r="O10" s="191"/>
      <c r="P10" s="191"/>
      <c r="Q10" s="191"/>
      <c r="R10" s="191"/>
      <c r="S10" s="191"/>
      <c r="T10" s="191"/>
      <c r="U10" s="191"/>
      <c r="V10" s="191"/>
      <c r="W10" s="191">
        <v>162027.56</v>
      </c>
      <c r="X10" s="190"/>
    </row>
    <row r="11" spans="1:24" ht="18.75" customHeight="1">
      <c r="A11" s="143"/>
      <c r="B11" s="218"/>
      <c r="C11" s="198"/>
      <c r="D11" s="190"/>
      <c r="E11" s="201"/>
      <c r="F11" s="190"/>
      <c r="G11" s="190"/>
      <c r="H11" s="143"/>
      <c r="I11" s="143"/>
      <c r="J11" s="191"/>
      <c r="K11" s="192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0"/>
    </row>
    <row r="12" spans="1:24" ht="18.75" customHeight="1">
      <c r="A12" s="143"/>
      <c r="B12" s="218"/>
      <c r="C12" s="198"/>
      <c r="D12" s="190"/>
      <c r="E12" s="201"/>
      <c r="F12" s="190"/>
      <c r="G12" s="190"/>
      <c r="H12" s="143"/>
      <c r="I12" s="143"/>
      <c r="J12" s="191"/>
      <c r="K12" s="192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0"/>
    </row>
    <row r="13" spans="1:24" ht="18.75" customHeight="1">
      <c r="A13" s="143"/>
      <c r="B13" s="218"/>
      <c r="C13" s="198"/>
      <c r="D13" s="190"/>
      <c r="E13" s="201"/>
      <c r="F13" s="190"/>
      <c r="G13" s="190"/>
      <c r="H13" s="143"/>
      <c r="I13" s="143"/>
      <c r="J13" s="191"/>
      <c r="K13" s="192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0"/>
    </row>
    <row r="14" spans="1:24" ht="16.5">
      <c r="A14" s="143"/>
      <c r="B14" s="218"/>
      <c r="C14" s="198"/>
      <c r="D14" s="190"/>
      <c r="E14" s="201"/>
      <c r="F14" s="190"/>
      <c r="G14" s="190"/>
      <c r="H14" s="143"/>
      <c r="I14" s="143"/>
      <c r="J14" s="191"/>
      <c r="K14" s="192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0"/>
    </row>
    <row r="15" spans="1:24" ht="16.5">
      <c r="A15" s="143"/>
      <c r="B15" s="218"/>
      <c r="C15" s="198"/>
      <c r="D15" s="190"/>
      <c r="E15" s="201"/>
      <c r="F15" s="190"/>
      <c r="G15" s="190"/>
      <c r="H15" s="143"/>
      <c r="I15" s="143"/>
      <c r="J15" s="191"/>
      <c r="K15" s="192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0"/>
    </row>
    <row r="16" spans="1:24" ht="16.5">
      <c r="A16" s="143"/>
      <c r="B16" s="218"/>
      <c r="C16" s="198"/>
      <c r="D16" s="190"/>
      <c r="E16" s="201"/>
      <c r="F16" s="190"/>
      <c r="G16" s="190"/>
      <c r="H16" s="143"/>
      <c r="I16" s="143"/>
      <c r="J16" s="191"/>
      <c r="K16" s="192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0"/>
    </row>
    <row r="17" spans="1:24" ht="16.5">
      <c r="A17" s="143"/>
      <c r="B17" s="218"/>
      <c r="C17" s="198"/>
      <c r="D17" s="190"/>
      <c r="E17" s="201"/>
      <c r="F17" s="190"/>
      <c r="G17" s="190"/>
      <c r="H17" s="143"/>
      <c r="I17" s="143"/>
      <c r="J17" s="191"/>
      <c r="K17" s="192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0"/>
    </row>
    <row r="18" spans="1:24" ht="16.5">
      <c r="A18" s="143"/>
      <c r="B18" s="218"/>
      <c r="C18" s="198"/>
      <c r="D18" s="190"/>
      <c r="E18" s="201"/>
      <c r="F18" s="190"/>
      <c r="G18" s="190"/>
      <c r="H18" s="143"/>
      <c r="I18" s="143"/>
      <c r="J18" s="191"/>
      <c r="K18" s="192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0"/>
    </row>
    <row r="19" spans="1:24" ht="16.5">
      <c r="A19" s="143"/>
      <c r="B19" s="218"/>
      <c r="C19" s="198"/>
      <c r="D19" s="190"/>
      <c r="E19" s="201"/>
      <c r="F19" s="190"/>
      <c r="G19" s="190"/>
      <c r="H19" s="143"/>
      <c r="I19" s="143"/>
      <c r="J19" s="191"/>
      <c r="K19" s="192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0"/>
    </row>
    <row r="20" spans="1:24" ht="16.5">
      <c r="A20" s="143"/>
      <c r="B20" s="218"/>
      <c r="C20" s="198"/>
      <c r="D20" s="190"/>
      <c r="E20" s="201"/>
      <c r="F20" s="190"/>
      <c r="G20" s="190"/>
      <c r="H20" s="143"/>
      <c r="I20" s="143"/>
      <c r="J20" s="191"/>
      <c r="K20" s="192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0"/>
    </row>
    <row r="21" spans="1:24" ht="16.5">
      <c r="A21" s="143"/>
      <c r="B21" s="218"/>
      <c r="C21" s="198"/>
      <c r="D21" s="190"/>
      <c r="E21" s="201"/>
      <c r="F21" s="190"/>
      <c r="G21" s="190"/>
      <c r="H21" s="143"/>
      <c r="I21" s="143"/>
      <c r="J21" s="191"/>
      <c r="K21" s="192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0"/>
    </row>
    <row r="22" spans="1:24" ht="16.5">
      <c r="A22" s="143"/>
      <c r="B22" s="218"/>
      <c r="C22" s="198"/>
      <c r="D22" s="190"/>
      <c r="E22" s="201"/>
      <c r="F22" s="190"/>
      <c r="G22" s="190"/>
      <c r="H22" s="143"/>
      <c r="I22" s="143"/>
      <c r="J22" s="191"/>
      <c r="K22" s="192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0"/>
    </row>
    <row r="23" spans="1:24" ht="16.5">
      <c r="A23" s="143"/>
      <c r="B23" s="218"/>
      <c r="C23" s="198"/>
      <c r="D23" s="190"/>
      <c r="E23" s="201"/>
      <c r="F23" s="190"/>
      <c r="G23" s="190"/>
      <c r="H23" s="143"/>
      <c r="I23" s="143"/>
      <c r="J23" s="191"/>
      <c r="K23" s="192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0"/>
    </row>
    <row r="24" spans="1:24" ht="16.5">
      <c r="A24" s="143"/>
      <c r="B24" s="218"/>
      <c r="C24" s="198"/>
      <c r="D24" s="190"/>
      <c r="E24" s="201"/>
      <c r="F24" s="190"/>
      <c r="G24" s="190"/>
      <c r="H24" s="143"/>
      <c r="I24" s="143"/>
      <c r="J24" s="191"/>
      <c r="K24" s="192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0"/>
    </row>
    <row r="25" spans="1:24" ht="16.5">
      <c r="A25" s="143"/>
      <c r="B25" s="218"/>
      <c r="C25" s="198"/>
      <c r="D25" s="190"/>
      <c r="E25" s="201"/>
      <c r="F25" s="190"/>
      <c r="G25" s="190"/>
      <c r="H25" s="143"/>
      <c r="I25" s="143"/>
      <c r="J25" s="191"/>
      <c r="K25" s="192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0"/>
    </row>
    <row r="26" spans="1:24" ht="16.5">
      <c r="A26" s="143"/>
      <c r="B26" s="218"/>
      <c r="C26" s="198"/>
      <c r="D26" s="190"/>
      <c r="E26" s="201"/>
      <c r="F26" s="190"/>
      <c r="G26" s="190"/>
      <c r="H26" s="143"/>
      <c r="I26" s="143"/>
      <c r="J26" s="191"/>
      <c r="K26" s="192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0"/>
    </row>
    <row r="27" spans="1:24" ht="16.5">
      <c r="A27" s="143"/>
      <c r="B27" s="218"/>
      <c r="C27" s="198"/>
      <c r="D27" s="190"/>
      <c r="E27" s="201"/>
      <c r="F27" s="190"/>
      <c r="G27" s="190"/>
      <c r="H27" s="143"/>
      <c r="I27" s="143"/>
      <c r="J27" s="191"/>
      <c r="K27" s="192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0"/>
    </row>
    <row r="28" spans="1:24" ht="16.5">
      <c r="A28" s="143"/>
      <c r="B28" s="218"/>
      <c r="C28" s="198"/>
      <c r="D28" s="190"/>
      <c r="E28" s="201"/>
      <c r="F28" s="190"/>
      <c r="G28" s="190"/>
      <c r="H28" s="143"/>
      <c r="I28" s="143"/>
      <c r="J28" s="191"/>
      <c r="K28" s="192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0"/>
    </row>
    <row r="29" spans="1:24" ht="16.5">
      <c r="A29" s="143"/>
      <c r="B29" s="218"/>
      <c r="C29" s="198"/>
      <c r="D29" s="190"/>
      <c r="E29" s="201"/>
      <c r="F29" s="190"/>
      <c r="G29" s="190"/>
      <c r="H29" s="143"/>
      <c r="I29" s="143"/>
      <c r="J29" s="191"/>
      <c r="K29" s="192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0"/>
    </row>
    <row r="30" spans="1:24" ht="16.5">
      <c r="A30" s="143"/>
      <c r="B30" s="218"/>
      <c r="C30" s="198"/>
      <c r="D30" s="190"/>
      <c r="E30" s="201"/>
      <c r="F30" s="190"/>
      <c r="G30" s="190"/>
      <c r="H30" s="143"/>
      <c r="I30" s="143"/>
      <c r="J30" s="191"/>
      <c r="K30" s="192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0"/>
    </row>
    <row r="31" spans="1:24" ht="16.5">
      <c r="A31" s="143"/>
      <c r="B31" s="218"/>
      <c r="C31" s="198"/>
      <c r="D31" s="190"/>
      <c r="E31" s="201"/>
      <c r="F31" s="190"/>
      <c r="G31" s="190"/>
      <c r="H31" s="143"/>
      <c r="I31" s="143"/>
      <c r="J31" s="191"/>
      <c r="K31" s="192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0"/>
    </row>
    <row r="32" spans="1:24" ht="16.5">
      <c r="A32" s="143"/>
      <c r="B32" s="218"/>
      <c r="C32" s="198"/>
      <c r="D32" s="190"/>
      <c r="E32" s="201"/>
      <c r="F32" s="190"/>
      <c r="G32" s="190"/>
      <c r="H32" s="143"/>
      <c r="I32" s="143"/>
      <c r="J32" s="191"/>
      <c r="K32" s="192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0"/>
    </row>
    <row r="33" spans="1:24" ht="16.5">
      <c r="A33" s="143"/>
      <c r="B33" s="218"/>
      <c r="C33" s="198"/>
      <c r="D33" s="190"/>
      <c r="E33" s="201"/>
      <c r="F33" s="190"/>
      <c r="G33" s="190"/>
      <c r="H33" s="143"/>
      <c r="I33" s="143"/>
      <c r="J33" s="191"/>
      <c r="K33" s="192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0"/>
    </row>
    <row r="34" spans="1:24" ht="16.5">
      <c r="A34" s="143"/>
      <c r="B34" s="218"/>
      <c r="C34" s="198"/>
      <c r="D34" s="190"/>
      <c r="E34" s="201"/>
      <c r="F34" s="190"/>
      <c r="G34" s="190"/>
      <c r="H34" s="143"/>
      <c r="I34" s="143"/>
      <c r="J34" s="191"/>
      <c r="K34" s="192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0"/>
    </row>
    <row r="35" spans="1:24" ht="16.5">
      <c r="A35" s="143"/>
      <c r="B35" s="218"/>
      <c r="C35" s="198"/>
      <c r="D35" s="190"/>
      <c r="E35" s="201"/>
      <c r="F35" s="190"/>
      <c r="G35" s="190"/>
      <c r="H35" s="143"/>
      <c r="I35" s="143"/>
      <c r="J35" s="191"/>
      <c r="K35" s="192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0"/>
    </row>
    <row r="36" spans="1:24" ht="16.5">
      <c r="A36" s="143"/>
      <c r="B36" s="218"/>
      <c r="C36" s="198"/>
      <c r="D36" s="190"/>
      <c r="E36" s="201"/>
      <c r="F36" s="190"/>
      <c r="G36" s="190"/>
      <c r="H36" s="143"/>
      <c r="I36" s="143"/>
      <c r="J36" s="191"/>
      <c r="K36" s="192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0"/>
    </row>
    <row r="37" spans="1:24" ht="16.5">
      <c r="A37" s="143"/>
      <c r="B37" s="218"/>
      <c r="C37" s="198"/>
      <c r="D37" s="190"/>
      <c r="E37" s="201"/>
      <c r="F37" s="190"/>
      <c r="G37" s="190"/>
      <c r="H37" s="143"/>
      <c r="I37" s="143"/>
      <c r="J37" s="191"/>
      <c r="K37" s="192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0"/>
    </row>
    <row r="38" spans="1:24" ht="16.5">
      <c r="A38" s="143"/>
      <c r="B38" s="218"/>
      <c r="C38" s="198"/>
      <c r="D38" s="190"/>
      <c r="E38" s="201"/>
      <c r="F38" s="190"/>
      <c r="G38" s="190"/>
      <c r="H38" s="143"/>
      <c r="I38" s="143"/>
      <c r="J38" s="191"/>
      <c r="K38" s="192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0"/>
    </row>
    <row r="39" spans="1:24" ht="16.5">
      <c r="A39" s="143"/>
      <c r="B39" s="218"/>
      <c r="C39" s="198"/>
      <c r="D39" s="190"/>
      <c r="E39" s="201"/>
      <c r="F39" s="190"/>
      <c r="G39" s="190"/>
      <c r="H39" s="143"/>
      <c r="I39" s="143"/>
      <c r="J39" s="191"/>
      <c r="K39" s="192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0"/>
    </row>
    <row r="40" spans="1:24" ht="16.5">
      <c r="A40" s="143"/>
      <c r="B40" s="218"/>
      <c r="C40" s="198"/>
      <c r="D40" s="190"/>
      <c r="E40" s="201"/>
      <c r="F40" s="190"/>
      <c r="G40" s="190"/>
      <c r="H40" s="143"/>
      <c r="I40" s="143"/>
      <c r="J40" s="191"/>
      <c r="K40" s="192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0"/>
    </row>
    <row r="41" spans="1:24" ht="16.5">
      <c r="A41" s="143"/>
      <c r="B41" s="218"/>
      <c r="C41" s="198"/>
      <c r="D41" s="190"/>
      <c r="E41" s="201"/>
      <c r="F41" s="190"/>
      <c r="G41" s="190"/>
      <c r="H41" s="143"/>
      <c r="I41" s="143"/>
      <c r="J41" s="191"/>
      <c r="K41" s="192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0"/>
    </row>
    <row r="42" spans="1:24" ht="16.5">
      <c r="A42" s="143"/>
      <c r="B42" s="218"/>
      <c r="C42" s="198"/>
      <c r="D42" s="190"/>
      <c r="E42" s="201"/>
      <c r="F42" s="190"/>
      <c r="G42" s="190"/>
      <c r="H42" s="143"/>
      <c r="I42" s="143"/>
      <c r="J42" s="191"/>
      <c r="K42" s="192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0"/>
    </row>
    <row r="43" spans="1:24" ht="16.5">
      <c r="A43" s="143"/>
      <c r="B43" s="218"/>
      <c r="C43" s="198"/>
      <c r="D43" s="190"/>
      <c r="E43" s="201"/>
      <c r="F43" s="190"/>
      <c r="G43" s="190"/>
      <c r="H43" s="143"/>
      <c r="I43" s="143"/>
      <c r="J43" s="191"/>
      <c r="K43" s="192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0"/>
    </row>
    <row r="44" spans="1:24" ht="16.5">
      <c r="A44" s="143"/>
      <c r="B44" s="218"/>
      <c r="C44" s="198"/>
      <c r="D44" s="190"/>
      <c r="E44" s="201"/>
      <c r="F44" s="190"/>
      <c r="G44" s="190"/>
      <c r="H44" s="143"/>
      <c r="I44" s="143"/>
      <c r="J44" s="191"/>
      <c r="K44" s="192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0"/>
    </row>
    <row r="45" spans="1:24" ht="16.5">
      <c r="A45" s="143"/>
      <c r="B45" s="218"/>
      <c r="C45" s="198"/>
      <c r="D45" s="190"/>
      <c r="E45" s="201"/>
      <c r="F45" s="190"/>
      <c r="G45" s="190"/>
      <c r="H45" s="143"/>
      <c r="I45" s="143"/>
      <c r="J45" s="191"/>
      <c r="K45" s="192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0"/>
    </row>
    <row r="46" spans="1:24" ht="16.5">
      <c r="A46" s="143"/>
      <c r="B46" s="218"/>
      <c r="C46" s="198"/>
      <c r="D46" s="190"/>
      <c r="E46" s="201"/>
      <c r="F46" s="190"/>
      <c r="G46" s="190"/>
      <c r="H46" s="143"/>
      <c r="I46" s="143"/>
      <c r="J46" s="191"/>
      <c r="K46" s="192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0"/>
    </row>
    <row r="47" spans="1:24" ht="16.5">
      <c r="A47" s="143"/>
      <c r="B47" s="218"/>
      <c r="C47" s="198"/>
      <c r="D47" s="190"/>
      <c r="E47" s="201"/>
      <c r="F47" s="190"/>
      <c r="G47" s="190"/>
      <c r="H47" s="143"/>
      <c r="I47" s="143"/>
      <c r="J47" s="191"/>
      <c r="K47" s="192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0"/>
    </row>
    <row r="48" spans="1:24" ht="16.5">
      <c r="A48" s="143"/>
      <c r="B48" s="218"/>
      <c r="C48" s="198"/>
      <c r="D48" s="190"/>
      <c r="E48" s="201"/>
      <c r="F48" s="190"/>
      <c r="G48" s="190"/>
      <c r="H48" s="143"/>
      <c r="I48" s="143"/>
      <c r="J48" s="191"/>
      <c r="K48" s="192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0"/>
    </row>
    <row r="49" spans="1:24" ht="16.5">
      <c r="A49" s="143"/>
      <c r="B49" s="218"/>
      <c r="C49" s="198"/>
      <c r="D49" s="190"/>
      <c r="E49" s="201"/>
      <c r="F49" s="190"/>
      <c r="G49" s="190"/>
      <c r="H49" s="143"/>
      <c r="I49" s="143"/>
      <c r="J49" s="191"/>
      <c r="K49" s="192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0"/>
    </row>
    <row r="50" spans="1:24" ht="16.5">
      <c r="A50" s="143"/>
      <c r="B50" s="218"/>
      <c r="C50" s="198"/>
      <c r="D50" s="190"/>
      <c r="E50" s="201"/>
      <c r="F50" s="190"/>
      <c r="G50" s="190"/>
      <c r="H50" s="143"/>
      <c r="I50" s="143"/>
      <c r="J50" s="191"/>
      <c r="K50" s="192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0"/>
    </row>
    <row r="51" spans="1:24" ht="16.5">
      <c r="A51" s="143"/>
      <c r="B51" s="218"/>
      <c r="C51" s="198"/>
      <c r="D51" s="190"/>
      <c r="E51" s="201"/>
      <c r="F51" s="190"/>
      <c r="G51" s="190"/>
      <c r="H51" s="143"/>
      <c r="I51" s="143"/>
      <c r="J51" s="191"/>
      <c r="K51" s="192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0"/>
    </row>
    <row r="52" spans="1:24" ht="16.5">
      <c r="A52" s="143"/>
      <c r="B52" s="218"/>
      <c r="C52" s="198"/>
      <c r="D52" s="190"/>
      <c r="E52" s="201"/>
      <c r="F52" s="190"/>
      <c r="G52" s="190"/>
      <c r="H52" s="143"/>
      <c r="I52" s="143"/>
      <c r="J52" s="191"/>
      <c r="K52" s="192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0"/>
    </row>
    <row r="53" spans="1:24" ht="16.5">
      <c r="A53" s="143"/>
      <c r="B53" s="218"/>
      <c r="C53" s="198"/>
      <c r="D53" s="190"/>
      <c r="E53" s="201"/>
      <c r="F53" s="190"/>
      <c r="G53" s="190"/>
      <c r="H53" s="143"/>
      <c r="I53" s="143"/>
      <c r="J53" s="191"/>
      <c r="K53" s="192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0"/>
    </row>
    <row r="54" spans="1:24" ht="16.5">
      <c r="A54" s="143"/>
      <c r="B54" s="218"/>
      <c r="C54" s="198"/>
      <c r="D54" s="190"/>
      <c r="E54" s="201"/>
      <c r="F54" s="190"/>
      <c r="G54" s="190"/>
      <c r="H54" s="143"/>
      <c r="I54" s="143"/>
      <c r="J54" s="191"/>
      <c r="K54" s="192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0"/>
    </row>
    <row r="55" spans="1:24" ht="16.5">
      <c r="A55" s="143"/>
      <c r="B55" s="218"/>
      <c r="C55" s="198"/>
      <c r="D55" s="190"/>
      <c r="E55" s="201"/>
      <c r="F55" s="190"/>
      <c r="G55" s="190"/>
      <c r="H55" s="143"/>
      <c r="I55" s="143"/>
      <c r="J55" s="191"/>
      <c r="K55" s="192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0"/>
    </row>
    <row r="56" spans="1:24" ht="16.5">
      <c r="A56" s="143"/>
      <c r="B56" s="218"/>
      <c r="C56" s="198"/>
      <c r="D56" s="190"/>
      <c r="E56" s="201"/>
      <c r="F56" s="190"/>
      <c r="G56" s="190"/>
      <c r="H56" s="143"/>
      <c r="I56" s="143"/>
      <c r="J56" s="191"/>
      <c r="K56" s="192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0"/>
    </row>
    <row r="57" spans="1:24" ht="16.5">
      <c r="A57" s="143"/>
      <c r="B57" s="218"/>
      <c r="C57" s="198"/>
      <c r="D57" s="190"/>
      <c r="E57" s="201"/>
      <c r="F57" s="190"/>
      <c r="G57" s="190"/>
      <c r="H57" s="143"/>
      <c r="I57" s="143"/>
      <c r="J57" s="191"/>
      <c r="K57" s="192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0"/>
    </row>
    <row r="58" spans="1:24" ht="16.5">
      <c r="A58" s="143"/>
      <c r="B58" s="218"/>
      <c r="C58" s="198"/>
      <c r="D58" s="190"/>
      <c r="E58" s="201"/>
      <c r="F58" s="190"/>
      <c r="G58" s="190"/>
      <c r="H58" s="143"/>
      <c r="I58" s="143"/>
      <c r="J58" s="191"/>
      <c r="K58" s="192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0"/>
    </row>
    <row r="59" spans="1:24" ht="16.5">
      <c r="A59" s="143"/>
      <c r="B59" s="218"/>
      <c r="C59" s="198"/>
      <c r="D59" s="190"/>
      <c r="E59" s="201"/>
      <c r="F59" s="190"/>
      <c r="G59" s="190"/>
      <c r="H59" s="143"/>
      <c r="I59" s="143"/>
      <c r="J59" s="191"/>
      <c r="K59" s="192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0"/>
    </row>
    <row r="60" spans="1:24" ht="16.5">
      <c r="A60" s="143"/>
      <c r="B60" s="218"/>
      <c r="C60" s="198"/>
      <c r="D60" s="190"/>
      <c r="E60" s="201"/>
      <c r="F60" s="190"/>
      <c r="G60" s="190"/>
      <c r="H60" s="143"/>
      <c r="I60" s="143"/>
      <c r="J60" s="191"/>
      <c r="K60" s="192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0"/>
    </row>
    <row r="61" spans="1:24" ht="16.5">
      <c r="A61" s="143"/>
      <c r="B61" s="218"/>
      <c r="C61" s="198"/>
      <c r="D61" s="190"/>
      <c r="E61" s="201"/>
      <c r="F61" s="190"/>
      <c r="G61" s="190"/>
      <c r="H61" s="143"/>
      <c r="I61" s="143"/>
      <c r="J61" s="191"/>
      <c r="K61" s="192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0"/>
    </row>
    <row r="62" spans="1:24" ht="16.5">
      <c r="A62" s="143"/>
      <c r="B62" s="218"/>
      <c r="C62" s="198"/>
      <c r="D62" s="190"/>
      <c r="E62" s="201"/>
      <c r="F62" s="190"/>
      <c r="G62" s="190"/>
      <c r="H62" s="143"/>
      <c r="I62" s="143"/>
      <c r="J62" s="191"/>
      <c r="K62" s="192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0"/>
    </row>
    <row r="63" spans="1:24" ht="16.5">
      <c r="A63" s="143"/>
      <c r="B63" s="218"/>
      <c r="C63" s="198"/>
      <c r="D63" s="190"/>
      <c r="E63" s="201"/>
      <c r="F63" s="190"/>
      <c r="G63" s="190"/>
      <c r="H63" s="143"/>
      <c r="I63" s="143"/>
      <c r="J63" s="191"/>
      <c r="K63" s="192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0"/>
    </row>
    <row r="64" spans="1:24" ht="16.5">
      <c r="A64" s="143"/>
      <c r="B64" s="218"/>
      <c r="C64" s="198"/>
      <c r="D64" s="190"/>
      <c r="E64" s="201"/>
      <c r="F64" s="190"/>
      <c r="G64" s="190"/>
      <c r="H64" s="143"/>
      <c r="I64" s="143"/>
      <c r="J64" s="191"/>
      <c r="K64" s="192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0"/>
    </row>
    <row r="65" spans="1:24" ht="16.5">
      <c r="A65" s="143"/>
      <c r="B65" s="218"/>
      <c r="C65" s="198"/>
      <c r="D65" s="190"/>
      <c r="E65" s="201"/>
      <c r="F65" s="190"/>
      <c r="G65" s="190"/>
      <c r="H65" s="143"/>
      <c r="I65" s="143"/>
      <c r="J65" s="191"/>
      <c r="K65" s="192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0"/>
    </row>
    <row r="66" spans="1:24" ht="16.5">
      <c r="A66" s="143"/>
      <c r="B66" s="218"/>
      <c r="C66" s="198"/>
      <c r="D66" s="190"/>
      <c r="E66" s="201"/>
      <c r="F66" s="190"/>
      <c r="G66" s="190"/>
      <c r="H66" s="143"/>
      <c r="I66" s="143"/>
      <c r="J66" s="191"/>
      <c r="K66" s="192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0"/>
    </row>
    <row r="67" spans="1:24" ht="16.5">
      <c r="A67" s="143"/>
      <c r="B67" s="218"/>
      <c r="C67" s="198"/>
      <c r="D67" s="190"/>
      <c r="E67" s="201"/>
      <c r="F67" s="190"/>
      <c r="G67" s="190"/>
      <c r="H67" s="143"/>
      <c r="I67" s="143"/>
      <c r="J67" s="191"/>
      <c r="K67" s="192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0"/>
    </row>
    <row r="68" spans="1:24" ht="16.5">
      <c r="A68" s="143"/>
      <c r="B68" s="218"/>
      <c r="C68" s="198"/>
      <c r="D68" s="190"/>
      <c r="E68" s="201"/>
      <c r="F68" s="190"/>
      <c r="G68" s="190"/>
      <c r="H68" s="143"/>
      <c r="I68" s="143"/>
      <c r="J68" s="191"/>
      <c r="K68" s="192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0"/>
    </row>
    <row r="69" spans="1:24" ht="16.5">
      <c r="A69" s="143"/>
      <c r="B69" s="218"/>
      <c r="C69" s="198"/>
      <c r="D69" s="190"/>
      <c r="E69" s="201"/>
      <c r="F69" s="190"/>
      <c r="G69" s="190"/>
      <c r="H69" s="143"/>
      <c r="I69" s="143"/>
      <c r="J69" s="191"/>
      <c r="K69" s="192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0"/>
    </row>
    <row r="70" spans="1:24" ht="16.5">
      <c r="A70" s="143"/>
      <c r="B70" s="218"/>
      <c r="C70" s="198"/>
      <c r="D70" s="190"/>
      <c r="E70" s="201"/>
      <c r="F70" s="190"/>
      <c r="G70" s="190"/>
      <c r="H70" s="143"/>
      <c r="I70" s="143"/>
      <c r="J70" s="191"/>
      <c r="K70" s="192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0"/>
    </row>
    <row r="71" spans="1:24" ht="16.5">
      <c r="A71" s="143"/>
      <c r="B71" s="218"/>
      <c r="C71" s="198"/>
      <c r="D71" s="190"/>
      <c r="E71" s="201"/>
      <c r="F71" s="190"/>
      <c r="G71" s="190"/>
      <c r="H71" s="143"/>
      <c r="I71" s="143"/>
      <c r="J71" s="191"/>
      <c r="K71" s="192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0"/>
    </row>
    <row r="72" spans="1:24" ht="16.5">
      <c r="A72" s="143"/>
      <c r="B72" s="218"/>
      <c r="C72" s="198"/>
      <c r="D72" s="190"/>
      <c r="E72" s="201"/>
      <c r="F72" s="190"/>
      <c r="G72" s="190"/>
      <c r="H72" s="143"/>
      <c r="I72" s="143"/>
      <c r="J72" s="191"/>
      <c r="K72" s="192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0"/>
    </row>
    <row r="73" spans="1:24" ht="16.5">
      <c r="A73" s="143"/>
      <c r="B73" s="218"/>
      <c r="C73" s="198"/>
      <c r="D73" s="190"/>
      <c r="E73" s="201"/>
      <c r="F73" s="190"/>
      <c r="G73" s="190"/>
      <c r="H73" s="143"/>
      <c r="I73" s="143"/>
      <c r="J73" s="191"/>
      <c r="K73" s="192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0"/>
    </row>
    <row r="74" spans="1:24" ht="16.5">
      <c r="A74" s="143"/>
      <c r="B74" s="218"/>
      <c r="C74" s="198"/>
      <c r="D74" s="190"/>
      <c r="E74" s="201"/>
      <c r="F74" s="190"/>
      <c r="G74" s="190"/>
      <c r="H74" s="143"/>
      <c r="I74" s="143"/>
      <c r="J74" s="191"/>
      <c r="K74" s="192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0"/>
    </row>
    <row r="75" spans="1:24" ht="16.5">
      <c r="A75" s="143"/>
      <c r="B75" s="218"/>
      <c r="C75" s="198"/>
      <c r="D75" s="190"/>
      <c r="E75" s="201"/>
      <c r="F75" s="190"/>
      <c r="G75" s="190"/>
      <c r="H75" s="143"/>
      <c r="I75" s="143"/>
      <c r="J75" s="191"/>
      <c r="K75" s="192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0"/>
    </row>
    <row r="76" spans="1:24" ht="16.5">
      <c r="A76" s="143"/>
      <c r="B76" s="218"/>
      <c r="C76" s="198"/>
      <c r="D76" s="190"/>
      <c r="E76" s="201"/>
      <c r="F76" s="190"/>
      <c r="G76" s="190"/>
      <c r="H76" s="143"/>
      <c r="I76" s="143"/>
      <c r="J76" s="191"/>
      <c r="K76" s="192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0"/>
    </row>
    <row r="77" spans="1:24" ht="16.5">
      <c r="A77" s="143"/>
      <c r="B77" s="218"/>
      <c r="C77" s="198"/>
      <c r="D77" s="190"/>
      <c r="E77" s="201"/>
      <c r="F77" s="190"/>
      <c r="G77" s="190"/>
      <c r="H77" s="143"/>
      <c r="I77" s="143"/>
      <c r="J77" s="191"/>
      <c r="K77" s="192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0"/>
    </row>
    <row r="78" spans="1:24" ht="16.5">
      <c r="A78" s="143"/>
      <c r="B78" s="218"/>
      <c r="C78" s="198"/>
      <c r="D78" s="190"/>
      <c r="E78" s="201"/>
      <c r="F78" s="190"/>
      <c r="G78" s="190"/>
      <c r="H78" s="143"/>
      <c r="I78" s="143"/>
      <c r="J78" s="191"/>
      <c r="K78" s="192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0"/>
    </row>
    <row r="79" spans="1:24" ht="16.5">
      <c r="A79" s="143"/>
      <c r="B79" s="218"/>
      <c r="C79" s="198"/>
      <c r="D79" s="190"/>
      <c r="E79" s="201"/>
      <c r="F79" s="190"/>
      <c r="G79" s="190"/>
      <c r="H79" s="143"/>
      <c r="I79" s="143"/>
      <c r="J79" s="191"/>
      <c r="K79" s="192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0"/>
    </row>
    <row r="80" spans="1:24" ht="16.5">
      <c r="A80" s="143"/>
      <c r="B80" s="218"/>
      <c r="C80" s="198"/>
      <c r="D80" s="190"/>
      <c r="E80" s="201"/>
      <c r="F80" s="190"/>
      <c r="G80" s="190"/>
      <c r="H80" s="143"/>
      <c r="I80" s="143"/>
      <c r="J80" s="191"/>
      <c r="K80" s="192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0"/>
    </row>
    <row r="81" spans="1:24" ht="16.5">
      <c r="A81" s="143"/>
      <c r="B81" s="218"/>
      <c r="C81" s="198"/>
      <c r="D81" s="190"/>
      <c r="E81" s="201"/>
      <c r="F81" s="190"/>
      <c r="G81" s="190"/>
      <c r="H81" s="143"/>
      <c r="I81" s="143"/>
      <c r="J81" s="191"/>
      <c r="K81" s="192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0"/>
    </row>
    <row r="82" spans="1:24" ht="16.5">
      <c r="A82" s="143"/>
      <c r="B82" s="218"/>
      <c r="C82" s="198"/>
      <c r="D82" s="190"/>
      <c r="E82" s="201"/>
      <c r="F82" s="190"/>
      <c r="G82" s="190"/>
      <c r="H82" s="143"/>
      <c r="I82" s="143"/>
      <c r="J82" s="191"/>
      <c r="K82" s="192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0"/>
    </row>
    <row r="83" spans="1:24" ht="16.5">
      <c r="A83" s="143"/>
      <c r="B83" s="218"/>
      <c r="C83" s="198"/>
      <c r="D83" s="190"/>
      <c r="E83" s="201"/>
      <c r="F83" s="190"/>
      <c r="G83" s="190"/>
      <c r="H83" s="143"/>
      <c r="I83" s="143"/>
      <c r="J83" s="191"/>
      <c r="K83" s="192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0"/>
    </row>
    <row r="84" spans="1:24" ht="16.5">
      <c r="A84" s="143"/>
      <c r="B84" s="218"/>
      <c r="C84" s="198"/>
      <c r="D84" s="190"/>
      <c r="E84" s="201"/>
      <c r="F84" s="190"/>
      <c r="G84" s="190"/>
      <c r="H84" s="143"/>
      <c r="I84" s="143"/>
      <c r="J84" s="191"/>
      <c r="K84" s="192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0"/>
    </row>
    <row r="85" spans="1:24" ht="16.5">
      <c r="A85" s="143"/>
      <c r="B85" s="218"/>
      <c r="C85" s="198"/>
      <c r="D85" s="190"/>
      <c r="E85" s="201"/>
      <c r="F85" s="190"/>
      <c r="G85" s="190"/>
      <c r="H85" s="143"/>
      <c r="I85" s="143"/>
      <c r="J85" s="191"/>
      <c r="K85" s="192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0"/>
    </row>
    <row r="86" spans="1:24" ht="16.5">
      <c r="A86" s="143"/>
      <c r="B86" s="218"/>
      <c r="C86" s="198"/>
      <c r="D86" s="190"/>
      <c r="E86" s="201"/>
      <c r="F86" s="190"/>
      <c r="G86" s="190"/>
      <c r="H86" s="143"/>
      <c r="I86" s="143"/>
      <c r="J86" s="191"/>
      <c r="K86" s="192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0"/>
    </row>
    <row r="87" spans="1:24" ht="16.5">
      <c r="A87" s="143"/>
      <c r="B87" s="218"/>
      <c r="C87" s="198"/>
      <c r="D87" s="190"/>
      <c r="E87" s="201"/>
      <c r="F87" s="190"/>
      <c r="G87" s="190"/>
      <c r="H87" s="143"/>
      <c r="I87" s="143"/>
      <c r="J87" s="191"/>
      <c r="K87" s="192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0"/>
    </row>
    <row r="88" spans="1:24" ht="16.5">
      <c r="A88" s="143"/>
      <c r="B88" s="218"/>
      <c r="C88" s="198"/>
      <c r="D88" s="190"/>
      <c r="E88" s="201"/>
      <c r="F88" s="190"/>
      <c r="G88" s="190"/>
      <c r="H88" s="143"/>
      <c r="I88" s="143"/>
      <c r="J88" s="191"/>
      <c r="K88" s="192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0"/>
    </row>
    <row r="89" spans="1:24" ht="16.5">
      <c r="A89" s="143"/>
      <c r="B89" s="218"/>
      <c r="C89" s="198"/>
      <c r="D89" s="190"/>
      <c r="E89" s="201"/>
      <c r="F89" s="190"/>
      <c r="G89" s="190"/>
      <c r="H89" s="143"/>
      <c r="I89" s="143"/>
      <c r="J89" s="191"/>
      <c r="K89" s="192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0"/>
    </row>
    <row r="90" spans="1:24" ht="16.5">
      <c r="A90" s="143"/>
      <c r="B90" s="218"/>
      <c r="C90" s="198"/>
      <c r="D90" s="190"/>
      <c r="E90" s="201"/>
      <c r="F90" s="190"/>
      <c r="G90" s="190"/>
      <c r="H90" s="143"/>
      <c r="I90" s="143"/>
      <c r="J90" s="191"/>
      <c r="K90" s="192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0"/>
    </row>
    <row r="91" spans="1:24" ht="16.5">
      <c r="A91" s="143"/>
      <c r="B91" s="218"/>
      <c r="C91" s="198"/>
      <c r="D91" s="190"/>
      <c r="E91" s="201"/>
      <c r="F91" s="190"/>
      <c r="G91" s="190"/>
      <c r="H91" s="143"/>
      <c r="I91" s="143"/>
      <c r="J91" s="191"/>
      <c r="K91" s="192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0"/>
    </row>
    <row r="92" spans="1:24" ht="16.5">
      <c r="A92" s="143"/>
      <c r="B92" s="218"/>
      <c r="C92" s="198"/>
      <c r="D92" s="190"/>
      <c r="E92" s="201"/>
      <c r="F92" s="190"/>
      <c r="G92" s="190"/>
      <c r="H92" s="143"/>
      <c r="I92" s="143"/>
      <c r="J92" s="191"/>
      <c r="K92" s="192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0"/>
    </row>
    <row r="93" spans="1:24" ht="16.5">
      <c r="A93" s="143"/>
      <c r="B93" s="218"/>
      <c r="C93" s="198"/>
      <c r="D93" s="190"/>
      <c r="E93" s="201"/>
      <c r="F93" s="190"/>
      <c r="G93" s="190"/>
      <c r="H93" s="143"/>
      <c r="I93" s="143"/>
      <c r="J93" s="191"/>
      <c r="K93" s="192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0"/>
    </row>
    <row r="94" spans="1:24" ht="16.5">
      <c r="A94" s="143"/>
      <c r="B94" s="218"/>
      <c r="C94" s="198"/>
      <c r="D94" s="190"/>
      <c r="E94" s="201"/>
      <c r="F94" s="190"/>
      <c r="G94" s="190"/>
      <c r="H94" s="143"/>
      <c r="I94" s="143"/>
      <c r="J94" s="191"/>
      <c r="K94" s="192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0"/>
    </row>
    <row r="95" spans="1:24" ht="16.5">
      <c r="A95" s="143"/>
      <c r="B95" s="218"/>
      <c r="C95" s="198"/>
      <c r="D95" s="190"/>
      <c r="E95" s="201"/>
      <c r="F95" s="190"/>
      <c r="G95" s="190"/>
      <c r="H95" s="143"/>
      <c r="I95" s="143"/>
      <c r="J95" s="191"/>
      <c r="K95" s="192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0"/>
    </row>
    <row r="96" spans="1:24" ht="16.5">
      <c r="A96" s="143"/>
      <c r="B96" s="218"/>
      <c r="C96" s="198"/>
      <c r="D96" s="190"/>
      <c r="E96" s="201"/>
      <c r="F96" s="190"/>
      <c r="G96" s="190"/>
      <c r="H96" s="143"/>
      <c r="I96" s="143"/>
      <c r="J96" s="191"/>
      <c r="K96" s="192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0"/>
    </row>
    <row r="97" spans="1:24" ht="16.5">
      <c r="A97" s="143"/>
      <c r="B97" s="218"/>
      <c r="C97" s="198"/>
      <c r="D97" s="190"/>
      <c r="E97" s="201"/>
      <c r="F97" s="190"/>
      <c r="G97" s="190"/>
      <c r="H97" s="143"/>
      <c r="I97" s="143"/>
      <c r="J97" s="191"/>
      <c r="K97" s="192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0"/>
    </row>
    <row r="98" spans="1:24" ht="16.5">
      <c r="A98" s="143"/>
      <c r="B98" s="218"/>
      <c r="C98" s="198"/>
      <c r="D98" s="190"/>
      <c r="E98" s="201"/>
      <c r="F98" s="190"/>
      <c r="G98" s="190"/>
      <c r="H98" s="143"/>
      <c r="I98" s="143"/>
      <c r="J98" s="191"/>
      <c r="K98" s="192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0"/>
    </row>
    <row r="99" spans="1:24" ht="16.5">
      <c r="A99" s="143"/>
      <c r="B99" s="218"/>
      <c r="C99" s="198"/>
      <c r="D99" s="190"/>
      <c r="E99" s="201"/>
      <c r="F99" s="190"/>
      <c r="G99" s="190"/>
      <c r="H99" s="143"/>
      <c r="I99" s="143"/>
      <c r="J99" s="191"/>
      <c r="K99" s="192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0"/>
    </row>
    <row r="100" spans="1:24" ht="16.5">
      <c r="A100" s="143"/>
      <c r="B100" s="218"/>
      <c r="C100" s="198"/>
      <c r="D100" s="190"/>
      <c r="E100" s="201"/>
      <c r="F100" s="190"/>
      <c r="G100" s="190"/>
      <c r="H100" s="143"/>
      <c r="I100" s="143"/>
      <c r="J100" s="191"/>
      <c r="K100" s="192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0"/>
    </row>
    <row r="101" spans="1:24" ht="16.5">
      <c r="A101" s="143"/>
      <c r="B101" s="218"/>
      <c r="C101" s="198"/>
      <c r="D101" s="190"/>
      <c r="E101" s="201"/>
      <c r="F101" s="190"/>
      <c r="G101" s="190"/>
      <c r="H101" s="143"/>
      <c r="I101" s="143"/>
      <c r="J101" s="191"/>
      <c r="K101" s="192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0"/>
    </row>
    <row r="102" spans="1:24" ht="16.5">
      <c r="A102" s="143"/>
      <c r="B102" s="218"/>
      <c r="C102" s="198"/>
      <c r="D102" s="190"/>
      <c r="E102" s="201"/>
      <c r="F102" s="190"/>
      <c r="G102" s="190"/>
      <c r="H102" s="143"/>
      <c r="I102" s="143"/>
      <c r="J102" s="191"/>
      <c r="K102" s="192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0"/>
    </row>
    <row r="103" spans="1:24" ht="16.5">
      <c r="A103" s="143"/>
      <c r="B103" s="218"/>
      <c r="C103" s="198"/>
      <c r="D103" s="190"/>
      <c r="E103" s="201"/>
      <c r="F103" s="190"/>
      <c r="G103" s="190"/>
      <c r="H103" s="143"/>
      <c r="I103" s="143"/>
      <c r="J103" s="191"/>
      <c r="K103" s="192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0"/>
    </row>
    <row r="104" spans="1:24" ht="16.5">
      <c r="A104" s="143"/>
      <c r="B104" s="218"/>
      <c r="C104" s="198"/>
      <c r="D104" s="190"/>
      <c r="E104" s="201"/>
      <c r="F104" s="190"/>
      <c r="G104" s="190"/>
      <c r="H104" s="143"/>
      <c r="I104" s="143"/>
      <c r="J104" s="191"/>
      <c r="K104" s="192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0"/>
    </row>
    <row r="105" spans="1:24" ht="16.5">
      <c r="A105" s="143"/>
      <c r="B105" s="218"/>
      <c r="C105" s="198"/>
      <c r="D105" s="190"/>
      <c r="E105" s="201"/>
      <c r="F105" s="190"/>
      <c r="G105" s="190"/>
      <c r="H105" s="143"/>
      <c r="I105" s="143"/>
      <c r="J105" s="191"/>
      <c r="K105" s="192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0"/>
    </row>
    <row r="106" spans="1:24" ht="16.5">
      <c r="A106" s="143"/>
      <c r="B106" s="218"/>
      <c r="C106" s="198"/>
      <c r="D106" s="190"/>
      <c r="E106" s="201"/>
      <c r="F106" s="190"/>
      <c r="G106" s="190"/>
      <c r="H106" s="143"/>
      <c r="I106" s="143"/>
      <c r="J106" s="191"/>
      <c r="K106" s="192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0"/>
    </row>
    <row r="107" spans="1:24" ht="16.5">
      <c r="A107" s="143"/>
      <c r="B107" s="218"/>
      <c r="C107" s="198"/>
      <c r="D107" s="190"/>
      <c r="E107" s="201"/>
      <c r="F107" s="190"/>
      <c r="G107" s="190"/>
      <c r="H107" s="143"/>
      <c r="I107" s="143"/>
      <c r="J107" s="191"/>
      <c r="K107" s="192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0"/>
    </row>
    <row r="108" spans="1:24" ht="16.5">
      <c r="A108" s="143"/>
      <c r="B108" s="218"/>
      <c r="C108" s="198"/>
      <c r="D108" s="190"/>
      <c r="E108" s="201"/>
      <c r="F108" s="190"/>
      <c r="G108" s="190"/>
      <c r="H108" s="143"/>
      <c r="I108" s="143"/>
      <c r="J108" s="191"/>
      <c r="K108" s="192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0"/>
    </row>
    <row r="109" spans="1:24" ht="16.5">
      <c r="A109" s="143"/>
      <c r="B109" s="218"/>
      <c r="C109" s="198"/>
      <c r="D109" s="190"/>
      <c r="E109" s="201"/>
      <c r="F109" s="190"/>
      <c r="G109" s="190"/>
      <c r="H109" s="143"/>
      <c r="I109" s="143"/>
      <c r="J109" s="191"/>
      <c r="K109" s="192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0"/>
    </row>
    <row r="110" spans="1:24" ht="16.5">
      <c r="A110" s="143"/>
      <c r="B110" s="218"/>
      <c r="C110" s="198"/>
      <c r="D110" s="190"/>
      <c r="E110" s="201"/>
      <c r="F110" s="190"/>
      <c r="G110" s="190"/>
      <c r="H110" s="143"/>
      <c r="I110" s="143"/>
      <c r="J110" s="191"/>
      <c r="K110" s="192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0"/>
    </row>
    <row r="111" spans="1:24" ht="16.5">
      <c r="A111" s="143"/>
      <c r="B111" s="218"/>
      <c r="C111" s="198"/>
      <c r="D111" s="190"/>
      <c r="E111" s="201"/>
      <c r="F111" s="190"/>
      <c r="G111" s="190"/>
      <c r="H111" s="143"/>
      <c r="I111" s="143"/>
      <c r="J111" s="191"/>
      <c r="K111" s="192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0"/>
    </row>
    <row r="112" spans="1:24" ht="16.5">
      <c r="A112" s="143"/>
      <c r="B112" s="218"/>
      <c r="C112" s="198"/>
      <c r="D112" s="190"/>
      <c r="E112" s="201"/>
      <c r="F112" s="190"/>
      <c r="G112" s="190"/>
      <c r="H112" s="143"/>
      <c r="I112" s="143"/>
      <c r="J112" s="191"/>
      <c r="K112" s="192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0"/>
    </row>
    <row r="113" spans="1:24" ht="16.5">
      <c r="A113" s="143"/>
      <c r="B113" s="218"/>
      <c r="C113" s="198"/>
      <c r="D113" s="190"/>
      <c r="E113" s="201"/>
      <c r="F113" s="190"/>
      <c r="G113" s="190"/>
      <c r="H113" s="143"/>
      <c r="I113" s="143"/>
      <c r="J113" s="191"/>
      <c r="K113" s="192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0"/>
    </row>
    <row r="114" spans="1:24" ht="16.5">
      <c r="A114" s="143"/>
      <c r="B114" s="218"/>
      <c r="C114" s="198"/>
      <c r="D114" s="190"/>
      <c r="E114" s="201"/>
      <c r="F114" s="190"/>
      <c r="G114" s="190"/>
      <c r="H114" s="143"/>
      <c r="I114" s="143"/>
      <c r="J114" s="191"/>
      <c r="K114" s="192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0"/>
    </row>
    <row r="115" spans="1:24" ht="16.5">
      <c r="A115" s="143"/>
      <c r="B115" s="218"/>
      <c r="C115" s="198"/>
      <c r="D115" s="190"/>
      <c r="E115" s="201"/>
      <c r="F115" s="190"/>
      <c r="G115" s="190"/>
      <c r="H115" s="143"/>
      <c r="I115" s="143"/>
      <c r="J115" s="191"/>
      <c r="K115" s="192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0"/>
    </row>
    <row r="116" spans="1:24" ht="16.5">
      <c r="A116" s="143"/>
      <c r="B116" s="218"/>
      <c r="C116" s="198"/>
      <c r="D116" s="190"/>
      <c r="E116" s="201"/>
      <c r="F116" s="190"/>
      <c r="G116" s="190"/>
      <c r="H116" s="143"/>
      <c r="I116" s="143"/>
      <c r="J116" s="191"/>
      <c r="K116" s="192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0"/>
    </row>
    <row r="117" spans="1:24" ht="16.5">
      <c r="A117" s="143"/>
      <c r="B117" s="218"/>
      <c r="C117" s="198"/>
      <c r="D117" s="190"/>
      <c r="E117" s="201"/>
      <c r="F117" s="190"/>
      <c r="G117" s="190"/>
      <c r="H117" s="143"/>
      <c r="I117" s="143"/>
      <c r="J117" s="191"/>
      <c r="K117" s="192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0"/>
    </row>
    <row r="118" spans="1:24" ht="16.5">
      <c r="A118" s="143"/>
      <c r="B118" s="218"/>
      <c r="C118" s="198"/>
      <c r="D118" s="190"/>
      <c r="E118" s="201"/>
      <c r="F118" s="190"/>
      <c r="G118" s="190"/>
      <c r="H118" s="143"/>
      <c r="I118" s="143"/>
      <c r="J118" s="191"/>
      <c r="K118" s="192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0"/>
    </row>
    <row r="119" spans="1:24" ht="16.5">
      <c r="A119" s="143"/>
      <c r="B119" s="218"/>
      <c r="C119" s="198"/>
      <c r="D119" s="190"/>
      <c r="E119" s="201"/>
      <c r="F119" s="190"/>
      <c r="G119" s="190"/>
      <c r="H119" s="143"/>
      <c r="I119" s="143"/>
      <c r="J119" s="191"/>
      <c r="K119" s="192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0"/>
    </row>
    <row r="120" spans="1:24" ht="16.5">
      <c r="A120" s="143"/>
      <c r="B120" s="218"/>
      <c r="C120" s="198"/>
      <c r="D120" s="190"/>
      <c r="E120" s="201"/>
      <c r="F120" s="190"/>
      <c r="G120" s="190"/>
      <c r="H120" s="143"/>
      <c r="I120" s="143"/>
      <c r="J120" s="191"/>
      <c r="K120" s="192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0"/>
    </row>
    <row r="121" spans="1:24" ht="16.5">
      <c r="A121" s="143"/>
      <c r="B121" s="218"/>
      <c r="C121" s="198"/>
      <c r="D121" s="190"/>
      <c r="E121" s="201"/>
      <c r="F121" s="190"/>
      <c r="G121" s="190"/>
      <c r="H121" s="143"/>
      <c r="I121" s="143"/>
      <c r="J121" s="191"/>
      <c r="K121" s="192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0"/>
    </row>
    <row r="122" spans="1:24" ht="16.5">
      <c r="A122" s="143"/>
      <c r="B122" s="218"/>
      <c r="C122" s="198"/>
      <c r="D122" s="190"/>
      <c r="E122" s="201"/>
      <c r="F122" s="190"/>
      <c r="G122" s="190"/>
      <c r="H122" s="143"/>
      <c r="I122" s="143"/>
      <c r="J122" s="191"/>
      <c r="K122" s="192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0"/>
    </row>
    <row r="123" spans="1:24" ht="16.5">
      <c r="A123" s="143"/>
      <c r="B123" s="218"/>
      <c r="C123" s="198"/>
      <c r="D123" s="190"/>
      <c r="E123" s="201"/>
      <c r="F123" s="190"/>
      <c r="G123" s="190"/>
      <c r="H123" s="143"/>
      <c r="I123" s="143"/>
      <c r="J123" s="191"/>
      <c r="K123" s="192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0"/>
    </row>
    <row r="124" spans="1:24" ht="16.5">
      <c r="A124" s="143"/>
      <c r="B124" s="218"/>
      <c r="C124" s="198"/>
      <c r="D124" s="190"/>
      <c r="E124" s="201"/>
      <c r="F124" s="190"/>
      <c r="G124" s="190"/>
      <c r="H124" s="143"/>
      <c r="I124" s="143"/>
      <c r="J124" s="191"/>
      <c r="K124" s="192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0"/>
    </row>
    <row r="125" spans="1:24" ht="16.5">
      <c r="A125" s="143"/>
      <c r="B125" s="218"/>
      <c r="C125" s="198"/>
      <c r="D125" s="190"/>
      <c r="E125" s="201"/>
      <c r="F125" s="190"/>
      <c r="G125" s="190"/>
      <c r="H125" s="143"/>
      <c r="I125" s="143"/>
      <c r="J125" s="191"/>
      <c r="K125" s="192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0"/>
    </row>
    <row r="126" spans="1:24" ht="16.5">
      <c r="A126" s="143"/>
      <c r="B126" s="218"/>
      <c r="C126" s="198"/>
      <c r="D126" s="190"/>
      <c r="E126" s="201"/>
      <c r="F126" s="190"/>
      <c r="G126" s="190"/>
      <c r="H126" s="143"/>
      <c r="I126" s="143"/>
      <c r="J126" s="191"/>
      <c r="K126" s="192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0"/>
    </row>
    <row r="127" spans="1:24" ht="16.5">
      <c r="A127" s="143"/>
      <c r="B127" s="218"/>
      <c r="C127" s="198"/>
      <c r="D127" s="190"/>
      <c r="E127" s="201"/>
      <c r="F127" s="190"/>
      <c r="G127" s="190"/>
      <c r="H127" s="143"/>
      <c r="I127" s="143"/>
      <c r="J127" s="191"/>
      <c r="K127" s="192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0"/>
    </row>
    <row r="128" spans="1:24" ht="16.5">
      <c r="A128" s="143"/>
      <c r="B128" s="218"/>
      <c r="C128" s="198"/>
      <c r="D128" s="190"/>
      <c r="E128" s="201"/>
      <c r="F128" s="190"/>
      <c r="G128" s="190"/>
      <c r="H128" s="143"/>
      <c r="I128" s="143"/>
      <c r="J128" s="191"/>
      <c r="K128" s="192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0"/>
    </row>
    <row r="129" spans="1:24" ht="16.5">
      <c r="A129" s="143"/>
      <c r="B129" s="218"/>
      <c r="C129" s="198"/>
      <c r="D129" s="190"/>
      <c r="E129" s="201"/>
      <c r="F129" s="190"/>
      <c r="G129" s="190"/>
      <c r="H129" s="143"/>
      <c r="I129" s="143"/>
      <c r="J129" s="191"/>
      <c r="K129" s="192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0"/>
    </row>
    <row r="130" spans="1:24" ht="16.5">
      <c r="A130" s="143"/>
      <c r="B130" s="218"/>
      <c r="C130" s="198"/>
      <c r="D130" s="190"/>
      <c r="E130" s="201"/>
      <c r="F130" s="190"/>
      <c r="G130" s="190"/>
      <c r="H130" s="143"/>
      <c r="I130" s="143"/>
      <c r="J130" s="191"/>
      <c r="K130" s="192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0"/>
    </row>
    <row r="131" spans="1:24" ht="16.5">
      <c r="A131" s="143"/>
      <c r="B131" s="218"/>
      <c r="C131" s="198"/>
      <c r="D131" s="190"/>
      <c r="E131" s="201"/>
      <c r="F131" s="190"/>
      <c r="G131" s="190"/>
      <c r="H131" s="143"/>
      <c r="I131" s="143"/>
      <c r="J131" s="191"/>
      <c r="K131" s="192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0"/>
    </row>
    <row r="132" spans="1:24" ht="16.5">
      <c r="A132" s="143"/>
      <c r="B132" s="218"/>
      <c r="C132" s="198"/>
      <c r="D132" s="190"/>
      <c r="E132" s="201"/>
      <c r="F132" s="190"/>
      <c r="G132" s="190"/>
      <c r="H132" s="143"/>
      <c r="I132" s="143"/>
      <c r="J132" s="191"/>
      <c r="K132" s="192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0"/>
    </row>
    <row r="133" spans="1:24" ht="16.5">
      <c r="A133" s="143"/>
      <c r="B133" s="218"/>
      <c r="C133" s="198"/>
      <c r="D133" s="190"/>
      <c r="E133" s="201"/>
      <c r="F133" s="190"/>
      <c r="G133" s="190"/>
      <c r="H133" s="143"/>
      <c r="I133" s="143"/>
      <c r="J133" s="191"/>
      <c r="K133" s="192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0"/>
    </row>
    <row r="134" spans="1:24" ht="16.5">
      <c r="A134" s="143"/>
      <c r="B134" s="218"/>
      <c r="C134" s="198"/>
      <c r="D134" s="190"/>
      <c r="E134" s="201"/>
      <c r="F134" s="190"/>
      <c r="G134" s="190"/>
      <c r="H134" s="143"/>
      <c r="I134" s="143"/>
      <c r="J134" s="191"/>
      <c r="K134" s="192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0"/>
    </row>
    <row r="135" spans="1:24" ht="16.5">
      <c r="A135" s="143"/>
      <c r="B135" s="218"/>
      <c r="C135" s="198"/>
      <c r="D135" s="190"/>
      <c r="E135" s="201"/>
      <c r="F135" s="190"/>
      <c r="G135" s="190"/>
      <c r="H135" s="143"/>
      <c r="I135" s="143"/>
      <c r="J135" s="191"/>
      <c r="K135" s="192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0"/>
    </row>
    <row r="136" spans="1:24" ht="16.5">
      <c r="A136" s="143"/>
      <c r="B136" s="218"/>
      <c r="C136" s="198"/>
      <c r="D136" s="190"/>
      <c r="E136" s="201"/>
      <c r="F136" s="190"/>
      <c r="G136" s="190"/>
      <c r="H136" s="143"/>
      <c r="I136" s="143"/>
      <c r="J136" s="191"/>
      <c r="K136" s="192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0"/>
    </row>
    <row r="137" spans="1:24" ht="16.5">
      <c r="A137" s="143"/>
      <c r="B137" s="218"/>
      <c r="C137" s="198"/>
      <c r="D137" s="190"/>
      <c r="E137" s="201"/>
      <c r="F137" s="190"/>
      <c r="G137" s="190"/>
      <c r="H137" s="143"/>
      <c r="I137" s="143"/>
      <c r="J137" s="191"/>
      <c r="K137" s="192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0"/>
    </row>
    <row r="138" spans="1:24" ht="16.5">
      <c r="A138" s="143"/>
      <c r="B138" s="218"/>
      <c r="C138" s="198"/>
      <c r="D138" s="190"/>
      <c r="E138" s="201"/>
      <c r="F138" s="190"/>
      <c r="G138" s="190"/>
      <c r="H138" s="143"/>
      <c r="I138" s="143"/>
      <c r="J138" s="191"/>
      <c r="K138" s="192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0"/>
    </row>
    <row r="139" spans="1:24" ht="16.5">
      <c r="A139" s="143"/>
      <c r="B139" s="218"/>
      <c r="C139" s="198"/>
      <c r="D139" s="190"/>
      <c r="E139" s="201"/>
      <c r="F139" s="190"/>
      <c r="G139" s="190"/>
      <c r="H139" s="143"/>
      <c r="I139" s="143"/>
      <c r="J139" s="191"/>
      <c r="K139" s="192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0"/>
    </row>
    <row r="140" spans="1:24" ht="16.5">
      <c r="A140" s="143"/>
      <c r="B140" s="218"/>
      <c r="C140" s="198"/>
      <c r="D140" s="190"/>
      <c r="E140" s="201"/>
      <c r="F140" s="190"/>
      <c r="G140" s="190"/>
      <c r="H140" s="143"/>
      <c r="I140" s="143"/>
      <c r="J140" s="191"/>
      <c r="K140" s="192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0"/>
    </row>
    <row r="141" spans="1:24" ht="16.5">
      <c r="A141" s="143"/>
      <c r="B141" s="218"/>
      <c r="C141" s="198"/>
      <c r="D141" s="190"/>
      <c r="E141" s="201"/>
      <c r="F141" s="190"/>
      <c r="G141" s="190"/>
      <c r="H141" s="143"/>
      <c r="I141" s="143"/>
      <c r="J141" s="191"/>
      <c r="K141" s="192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0"/>
    </row>
    <row r="142" spans="1:24" ht="16.5">
      <c r="A142" s="143"/>
      <c r="B142" s="218"/>
      <c r="C142" s="198"/>
      <c r="D142" s="190"/>
      <c r="E142" s="201"/>
      <c r="F142" s="190"/>
      <c r="G142" s="190"/>
      <c r="H142" s="143"/>
      <c r="I142" s="143"/>
      <c r="J142" s="191"/>
      <c r="K142" s="192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0"/>
    </row>
    <row r="143" spans="1:24" ht="16.5">
      <c r="A143" s="143"/>
      <c r="B143" s="218"/>
      <c r="C143" s="198"/>
      <c r="D143" s="190"/>
      <c r="E143" s="201"/>
      <c r="F143" s="190"/>
      <c r="G143" s="190"/>
      <c r="H143" s="143"/>
      <c r="I143" s="143"/>
      <c r="J143" s="191"/>
      <c r="K143" s="192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0"/>
    </row>
    <row r="144" spans="1:24" ht="16.5">
      <c r="A144" s="143"/>
      <c r="B144" s="218"/>
      <c r="C144" s="198"/>
      <c r="D144" s="190"/>
      <c r="E144" s="201"/>
      <c r="F144" s="190"/>
      <c r="G144" s="190"/>
      <c r="H144" s="143"/>
      <c r="I144" s="143"/>
      <c r="J144" s="191"/>
      <c r="K144" s="192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0"/>
    </row>
    <row r="145" spans="1:24" ht="16.5">
      <c r="A145" s="143"/>
      <c r="B145" s="218"/>
      <c r="C145" s="198"/>
      <c r="D145" s="190"/>
      <c r="E145" s="201"/>
      <c r="F145" s="190"/>
      <c r="G145" s="190"/>
      <c r="H145" s="143"/>
      <c r="I145" s="143"/>
      <c r="J145" s="191"/>
      <c r="K145" s="192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0"/>
    </row>
    <row r="146" spans="1:24" ht="16.5">
      <c r="A146" s="143"/>
      <c r="B146" s="218"/>
      <c r="C146" s="198"/>
      <c r="D146" s="190"/>
      <c r="E146" s="201"/>
      <c r="F146" s="190"/>
      <c r="G146" s="190"/>
      <c r="H146" s="143"/>
      <c r="I146" s="143"/>
      <c r="J146" s="191"/>
      <c r="K146" s="192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0"/>
    </row>
    <row r="147" spans="1:24" ht="16.5">
      <c r="A147" s="143"/>
      <c r="B147" s="218"/>
      <c r="C147" s="198"/>
      <c r="D147" s="190"/>
      <c r="E147" s="201"/>
      <c r="F147" s="190"/>
      <c r="G147" s="190"/>
      <c r="H147" s="143"/>
      <c r="I147" s="143"/>
      <c r="J147" s="191"/>
      <c r="K147" s="192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0"/>
    </row>
    <row r="148" spans="1:24" ht="16.5">
      <c r="A148" s="143"/>
      <c r="B148" s="218"/>
      <c r="C148" s="198"/>
      <c r="D148" s="190"/>
      <c r="E148" s="201"/>
      <c r="F148" s="190"/>
      <c r="G148" s="190"/>
      <c r="H148" s="143"/>
      <c r="I148" s="143"/>
      <c r="J148" s="191"/>
      <c r="K148" s="192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0"/>
    </row>
    <row r="149" spans="1:24" ht="16.5">
      <c r="A149" s="143"/>
      <c r="B149" s="218"/>
      <c r="C149" s="198"/>
      <c r="D149" s="190"/>
      <c r="E149" s="201"/>
      <c r="F149" s="190"/>
      <c r="G149" s="190"/>
      <c r="H149" s="143"/>
      <c r="I149" s="143"/>
      <c r="J149" s="191"/>
      <c r="K149" s="192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0"/>
    </row>
    <row r="150" spans="1:24" ht="16.5">
      <c r="A150" s="143"/>
      <c r="B150" s="218"/>
      <c r="C150" s="198"/>
      <c r="D150" s="190"/>
      <c r="E150" s="201"/>
      <c r="F150" s="190"/>
      <c r="G150" s="190"/>
      <c r="H150" s="143"/>
      <c r="I150" s="143"/>
      <c r="J150" s="191"/>
      <c r="K150" s="192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0"/>
    </row>
    <row r="151" spans="1:24" ht="16.5">
      <c r="A151" s="143"/>
      <c r="B151" s="218"/>
      <c r="C151" s="198"/>
      <c r="D151" s="190"/>
      <c r="E151" s="201"/>
      <c r="F151" s="190"/>
      <c r="G151" s="190"/>
      <c r="H151" s="143"/>
      <c r="I151" s="143"/>
      <c r="J151" s="191"/>
      <c r="K151" s="192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0"/>
    </row>
    <row r="152" spans="1:24" ht="16.5">
      <c r="A152" s="143"/>
      <c r="B152" s="218"/>
      <c r="C152" s="198"/>
      <c r="D152" s="190"/>
      <c r="E152" s="201"/>
      <c r="F152" s="190"/>
      <c r="G152" s="190"/>
      <c r="H152" s="143"/>
      <c r="I152" s="143"/>
      <c r="J152" s="191"/>
      <c r="K152" s="192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0"/>
    </row>
    <row r="153" spans="1:24" ht="16.5">
      <c r="A153" s="143"/>
      <c r="B153" s="218"/>
      <c r="C153" s="198"/>
      <c r="D153" s="190"/>
      <c r="E153" s="201"/>
      <c r="F153" s="190"/>
      <c r="G153" s="190"/>
      <c r="H153" s="143"/>
      <c r="I153" s="143"/>
      <c r="J153" s="191"/>
      <c r="K153" s="192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0"/>
    </row>
    <row r="154" spans="1:24" ht="16.5">
      <c r="A154" s="143"/>
      <c r="B154" s="218"/>
      <c r="C154" s="198"/>
      <c r="D154" s="190"/>
      <c r="E154" s="201"/>
      <c r="F154" s="190"/>
      <c r="G154" s="190"/>
      <c r="H154" s="143"/>
      <c r="I154" s="143"/>
      <c r="J154" s="191"/>
      <c r="K154" s="192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0"/>
    </row>
    <row r="155" spans="1:24" ht="16.5">
      <c r="A155" s="143"/>
      <c r="B155" s="218"/>
      <c r="C155" s="198"/>
      <c r="D155" s="190"/>
      <c r="E155" s="201"/>
      <c r="F155" s="190"/>
      <c r="G155" s="190"/>
      <c r="H155" s="143"/>
      <c r="I155" s="143"/>
      <c r="J155" s="191"/>
      <c r="K155" s="192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0"/>
    </row>
    <row r="156" spans="1:24" ht="16.5">
      <c r="A156" s="143"/>
      <c r="B156" s="218"/>
      <c r="C156" s="198"/>
      <c r="D156" s="190"/>
      <c r="E156" s="201"/>
      <c r="F156" s="190"/>
      <c r="G156" s="190"/>
      <c r="H156" s="143"/>
      <c r="I156" s="143"/>
      <c r="J156" s="191"/>
      <c r="K156" s="192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0"/>
    </row>
    <row r="157" spans="1:24" ht="16.5">
      <c r="A157" s="143"/>
      <c r="B157" s="218"/>
      <c r="C157" s="198"/>
      <c r="D157" s="190"/>
      <c r="E157" s="201"/>
      <c r="F157" s="190"/>
      <c r="G157" s="190"/>
      <c r="H157" s="143"/>
      <c r="I157" s="143"/>
      <c r="J157" s="191"/>
      <c r="K157" s="192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0"/>
    </row>
    <row r="158" spans="1:24" ht="16.5">
      <c r="A158" s="143"/>
      <c r="B158" s="218"/>
      <c r="C158" s="198"/>
      <c r="D158" s="190"/>
      <c r="E158" s="201"/>
      <c r="F158" s="190"/>
      <c r="G158" s="190"/>
      <c r="H158" s="143"/>
      <c r="I158" s="143"/>
      <c r="J158" s="191"/>
      <c r="K158" s="192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0"/>
    </row>
    <row r="159" spans="1:24" ht="16.5">
      <c r="A159" s="143"/>
      <c r="B159" s="218"/>
      <c r="C159" s="198"/>
      <c r="D159" s="190"/>
      <c r="E159" s="201"/>
      <c r="F159" s="190"/>
      <c r="G159" s="190"/>
      <c r="H159" s="143"/>
      <c r="I159" s="143"/>
      <c r="J159" s="191"/>
      <c r="K159" s="192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0"/>
    </row>
    <row r="160" spans="1:24" ht="16.5">
      <c r="A160" s="143"/>
      <c r="B160" s="218"/>
      <c r="C160" s="198"/>
      <c r="D160" s="190"/>
      <c r="E160" s="201"/>
      <c r="F160" s="190"/>
      <c r="G160" s="190"/>
      <c r="H160" s="143"/>
      <c r="I160" s="143"/>
      <c r="J160" s="191"/>
      <c r="K160" s="192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0"/>
    </row>
    <row r="161" spans="1:24" ht="16.5">
      <c r="A161" s="143"/>
      <c r="B161" s="218"/>
      <c r="C161" s="198"/>
      <c r="D161" s="190"/>
      <c r="E161" s="201"/>
      <c r="F161" s="190"/>
      <c r="G161" s="190"/>
      <c r="H161" s="143"/>
      <c r="I161" s="143"/>
      <c r="J161" s="191"/>
      <c r="K161" s="192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0"/>
    </row>
    <row r="162" spans="1:24" ht="16.5">
      <c r="A162" s="143"/>
      <c r="B162" s="218"/>
      <c r="C162" s="198"/>
      <c r="D162" s="190"/>
      <c r="E162" s="201"/>
      <c r="F162" s="190"/>
      <c r="G162" s="190"/>
      <c r="H162" s="143"/>
      <c r="I162" s="143"/>
      <c r="J162" s="191"/>
      <c r="K162" s="192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0"/>
    </row>
    <row r="163" spans="1:24" ht="16.5">
      <c r="A163" s="143"/>
      <c r="B163" s="218"/>
      <c r="C163" s="198"/>
      <c r="D163" s="190"/>
      <c r="E163" s="201"/>
      <c r="F163" s="190"/>
      <c r="G163" s="190"/>
      <c r="H163" s="143"/>
      <c r="I163" s="143"/>
      <c r="J163" s="191"/>
      <c r="K163" s="192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0"/>
    </row>
    <row r="164" spans="1:24" ht="16.5">
      <c r="A164" s="143"/>
      <c r="B164" s="218"/>
      <c r="C164" s="198"/>
      <c r="D164" s="190"/>
      <c r="E164" s="201"/>
      <c r="F164" s="190"/>
      <c r="G164" s="190"/>
      <c r="H164" s="143"/>
      <c r="I164" s="143"/>
      <c r="J164" s="191"/>
      <c r="K164" s="192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0"/>
    </row>
    <row r="165" spans="1:24" ht="16.5">
      <c r="A165" s="143"/>
      <c r="B165" s="218"/>
      <c r="C165" s="198"/>
      <c r="D165" s="190"/>
      <c r="E165" s="201"/>
      <c r="F165" s="190"/>
      <c r="G165" s="190"/>
      <c r="H165" s="143"/>
      <c r="I165" s="143"/>
      <c r="J165" s="191"/>
      <c r="K165" s="192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0"/>
    </row>
    <row r="166" spans="1:24" ht="16.5">
      <c r="A166" s="143"/>
      <c r="B166" s="218"/>
      <c r="C166" s="198"/>
      <c r="D166" s="190"/>
      <c r="E166" s="201"/>
      <c r="F166" s="190"/>
      <c r="G166" s="190"/>
      <c r="H166" s="143"/>
      <c r="I166" s="143"/>
      <c r="J166" s="191"/>
      <c r="K166" s="192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0"/>
    </row>
    <row r="167" spans="1:24" ht="16.5">
      <c r="A167" s="143"/>
      <c r="B167" s="218"/>
      <c r="C167" s="198"/>
      <c r="D167" s="190"/>
      <c r="E167" s="201"/>
      <c r="F167" s="190"/>
      <c r="G167" s="190"/>
      <c r="H167" s="143"/>
      <c r="I167" s="143"/>
      <c r="J167" s="191"/>
      <c r="K167" s="192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0"/>
    </row>
    <row r="168" spans="1:24" ht="16.5">
      <c r="A168" s="143"/>
      <c r="B168" s="218"/>
      <c r="C168" s="198"/>
      <c r="D168" s="190"/>
      <c r="E168" s="201"/>
      <c r="F168" s="190"/>
      <c r="G168" s="190"/>
      <c r="H168" s="143"/>
      <c r="I168" s="143"/>
      <c r="J168" s="191"/>
      <c r="K168" s="192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0"/>
    </row>
    <row r="169" spans="1:24" ht="16.5">
      <c r="A169" s="143"/>
      <c r="B169" s="218"/>
      <c r="C169" s="198"/>
      <c r="D169" s="190"/>
      <c r="E169" s="201"/>
      <c r="F169" s="190"/>
      <c r="G169" s="190"/>
      <c r="H169" s="143"/>
      <c r="I169" s="143"/>
      <c r="J169" s="191"/>
      <c r="K169" s="192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0"/>
    </row>
    <row r="170" spans="1:24" ht="16.5">
      <c r="A170" s="143"/>
      <c r="B170" s="218"/>
      <c r="C170" s="198"/>
      <c r="D170" s="190"/>
      <c r="E170" s="201"/>
      <c r="F170" s="190"/>
      <c r="G170" s="190"/>
      <c r="H170" s="143"/>
      <c r="I170" s="143"/>
      <c r="J170" s="191"/>
      <c r="K170" s="192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0"/>
    </row>
    <row r="171" spans="1:24" ht="16.5">
      <c r="A171" s="143"/>
      <c r="B171" s="218"/>
      <c r="C171" s="198"/>
      <c r="D171" s="190"/>
      <c r="E171" s="201"/>
      <c r="F171" s="190"/>
      <c r="G171" s="190"/>
      <c r="H171" s="143"/>
      <c r="I171" s="143"/>
      <c r="J171" s="191"/>
      <c r="K171" s="192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0"/>
    </row>
    <row r="172" spans="1:24" ht="16.5">
      <c r="A172" s="143"/>
      <c r="B172" s="218"/>
      <c r="C172" s="198"/>
      <c r="D172" s="190"/>
      <c r="E172" s="201"/>
      <c r="F172" s="190"/>
      <c r="G172" s="190"/>
      <c r="H172" s="143"/>
      <c r="I172" s="143"/>
      <c r="J172" s="191"/>
      <c r="K172" s="192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0"/>
    </row>
    <row r="173" spans="1:24" ht="16.5">
      <c r="A173" s="143"/>
      <c r="B173" s="218"/>
      <c r="C173" s="198"/>
      <c r="D173" s="190"/>
      <c r="E173" s="201"/>
      <c r="F173" s="190"/>
      <c r="G173" s="190"/>
      <c r="H173" s="143"/>
      <c r="I173" s="143"/>
      <c r="J173" s="191"/>
      <c r="K173" s="192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0"/>
    </row>
    <row r="174" spans="1:24" ht="16.5">
      <c r="A174" s="143"/>
      <c r="B174" s="218"/>
      <c r="C174" s="198"/>
      <c r="D174" s="190"/>
      <c r="E174" s="201"/>
      <c r="F174" s="190"/>
      <c r="G174" s="190"/>
      <c r="H174" s="143"/>
      <c r="I174" s="143"/>
      <c r="J174" s="191"/>
      <c r="K174" s="192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0"/>
    </row>
    <row r="175" spans="1:24" ht="16.5">
      <c r="A175" s="143"/>
      <c r="B175" s="218"/>
      <c r="C175" s="198"/>
      <c r="D175" s="190"/>
      <c r="E175" s="201"/>
      <c r="F175" s="190"/>
      <c r="G175" s="190"/>
      <c r="H175" s="143"/>
      <c r="I175" s="143"/>
      <c r="J175" s="191"/>
      <c r="K175" s="192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0"/>
    </row>
    <row r="176" spans="1:24" ht="16.5">
      <c r="A176" s="143"/>
      <c r="B176" s="218"/>
      <c r="C176" s="198"/>
      <c r="D176" s="190"/>
      <c r="E176" s="201"/>
      <c r="F176" s="190"/>
      <c r="G176" s="190"/>
      <c r="H176" s="143"/>
      <c r="I176" s="143"/>
      <c r="J176" s="191"/>
      <c r="K176" s="192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0"/>
    </row>
    <row r="177" spans="1:24" ht="16.5">
      <c r="A177" s="143"/>
      <c r="B177" s="218"/>
      <c r="C177" s="198"/>
      <c r="D177" s="190"/>
      <c r="E177" s="201"/>
      <c r="F177" s="190"/>
      <c r="G177" s="190"/>
      <c r="H177" s="143"/>
      <c r="I177" s="143"/>
      <c r="J177" s="191"/>
      <c r="K177" s="192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0"/>
    </row>
    <row r="178" spans="1:24" ht="16.5">
      <c r="A178" s="143"/>
      <c r="B178" s="218"/>
      <c r="C178" s="198"/>
      <c r="D178" s="190"/>
      <c r="E178" s="201"/>
      <c r="F178" s="190"/>
      <c r="G178" s="190"/>
      <c r="H178" s="143"/>
      <c r="I178" s="143"/>
      <c r="J178" s="191"/>
      <c r="K178" s="192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0"/>
    </row>
    <row r="179" spans="1:24" ht="16.5">
      <c r="A179" s="143"/>
      <c r="B179" s="218"/>
      <c r="C179" s="198"/>
      <c r="D179" s="190"/>
      <c r="E179" s="201"/>
      <c r="F179" s="190"/>
      <c r="G179" s="190"/>
      <c r="H179" s="143"/>
      <c r="I179" s="143"/>
      <c r="J179" s="191"/>
      <c r="K179" s="192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0"/>
    </row>
    <row r="180" spans="1:24" ht="16.5">
      <c r="A180" s="143"/>
      <c r="B180" s="218"/>
      <c r="C180" s="198"/>
      <c r="D180" s="190"/>
      <c r="E180" s="201"/>
      <c r="F180" s="190"/>
      <c r="G180" s="190"/>
      <c r="H180" s="143"/>
      <c r="I180" s="143"/>
      <c r="J180" s="191"/>
      <c r="K180" s="192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0"/>
    </row>
    <row r="181" spans="1:24" ht="16.5">
      <c r="A181" s="143"/>
      <c r="B181" s="218"/>
      <c r="C181" s="198"/>
      <c r="D181" s="190"/>
      <c r="E181" s="201"/>
      <c r="F181" s="190"/>
      <c r="G181" s="190"/>
      <c r="H181" s="143"/>
      <c r="I181" s="143"/>
      <c r="J181" s="191"/>
      <c r="K181" s="192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0"/>
    </row>
    <row r="182" spans="1:24" ht="16.5">
      <c r="A182" s="143"/>
      <c r="B182" s="218"/>
      <c r="C182" s="198"/>
      <c r="D182" s="190"/>
      <c r="E182" s="201"/>
      <c r="F182" s="190"/>
      <c r="G182" s="190"/>
      <c r="H182" s="143"/>
      <c r="I182" s="143"/>
      <c r="J182" s="191"/>
      <c r="K182" s="192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0"/>
    </row>
    <row r="183" spans="1:24" ht="16.5">
      <c r="A183" s="143"/>
      <c r="B183" s="218"/>
      <c r="C183" s="198"/>
      <c r="D183" s="190"/>
      <c r="E183" s="201"/>
      <c r="F183" s="190"/>
      <c r="G183" s="190"/>
      <c r="H183" s="143"/>
      <c r="I183" s="143"/>
      <c r="J183" s="191"/>
      <c r="K183" s="192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0"/>
    </row>
    <row r="184" spans="1:24" ht="16.5">
      <c r="A184" s="143"/>
      <c r="B184" s="218"/>
      <c r="C184" s="198"/>
      <c r="D184" s="190"/>
      <c r="E184" s="201"/>
      <c r="F184" s="190"/>
      <c r="G184" s="190"/>
      <c r="H184" s="143"/>
      <c r="I184" s="143"/>
      <c r="J184" s="191"/>
      <c r="K184" s="192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0"/>
    </row>
    <row r="185" spans="1:24" ht="16.5">
      <c r="A185" s="143"/>
      <c r="B185" s="218"/>
      <c r="C185" s="198"/>
      <c r="D185" s="190"/>
      <c r="E185" s="201"/>
      <c r="F185" s="190"/>
      <c r="G185" s="190"/>
      <c r="H185" s="143"/>
      <c r="I185" s="143"/>
      <c r="J185" s="191"/>
      <c r="K185" s="192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0"/>
    </row>
    <row r="186" spans="1:24" ht="16.5">
      <c r="A186" s="143"/>
      <c r="B186" s="218"/>
      <c r="C186" s="198"/>
      <c r="D186" s="190"/>
      <c r="E186" s="201"/>
      <c r="F186" s="190"/>
      <c r="G186" s="190"/>
      <c r="H186" s="143"/>
      <c r="I186" s="143"/>
      <c r="J186" s="191"/>
      <c r="K186" s="192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0"/>
    </row>
    <row r="187" spans="1:24" ht="16.5">
      <c r="A187" s="143"/>
      <c r="B187" s="218"/>
      <c r="C187" s="198"/>
      <c r="D187" s="190"/>
      <c r="E187" s="201"/>
      <c r="F187" s="190"/>
      <c r="G187" s="190"/>
      <c r="H187" s="143"/>
      <c r="I187" s="143"/>
      <c r="J187" s="191"/>
      <c r="K187" s="192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0"/>
    </row>
    <row r="188" spans="1:24" ht="16.5">
      <c r="A188" s="143"/>
      <c r="B188" s="218"/>
      <c r="C188" s="198"/>
      <c r="D188" s="190"/>
      <c r="E188" s="201"/>
      <c r="F188" s="190"/>
      <c r="G188" s="190"/>
      <c r="H188" s="143"/>
      <c r="I188" s="143"/>
      <c r="J188" s="191"/>
      <c r="K188" s="192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0"/>
    </row>
    <row r="189" spans="1:24" ht="16.5">
      <c r="A189" s="143"/>
      <c r="B189" s="218"/>
      <c r="C189" s="198"/>
      <c r="D189" s="190"/>
      <c r="E189" s="201"/>
      <c r="F189" s="190"/>
      <c r="G189" s="190"/>
      <c r="H189" s="143"/>
      <c r="I189" s="143"/>
      <c r="J189" s="191"/>
      <c r="K189" s="192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0"/>
    </row>
    <row r="190" spans="1:24" ht="16.5">
      <c r="A190" s="143"/>
      <c r="B190" s="218"/>
      <c r="C190" s="198"/>
      <c r="D190" s="190"/>
      <c r="E190" s="201"/>
      <c r="F190" s="190"/>
      <c r="G190" s="190"/>
      <c r="H190" s="143"/>
      <c r="I190" s="143"/>
      <c r="J190" s="191"/>
      <c r="K190" s="192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0"/>
    </row>
    <row r="191" spans="1:24" ht="16.5">
      <c r="A191" s="143"/>
      <c r="B191" s="218"/>
      <c r="C191" s="198"/>
      <c r="D191" s="190"/>
      <c r="E191" s="201"/>
      <c r="F191" s="190"/>
      <c r="G191" s="190"/>
      <c r="H191" s="143"/>
      <c r="I191" s="143"/>
      <c r="J191" s="191"/>
      <c r="K191" s="192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0"/>
    </row>
    <row r="192" spans="1:24" ht="16.5">
      <c r="A192" s="143"/>
      <c r="B192" s="218"/>
      <c r="C192" s="198"/>
      <c r="D192" s="190"/>
      <c r="E192" s="201"/>
      <c r="F192" s="190"/>
      <c r="G192" s="190"/>
      <c r="H192" s="143"/>
      <c r="I192" s="143"/>
      <c r="J192" s="191"/>
      <c r="K192" s="192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0"/>
    </row>
    <row r="193" spans="1:24" ht="16.5">
      <c r="A193" s="143"/>
      <c r="B193" s="218"/>
      <c r="C193" s="198"/>
      <c r="D193" s="190"/>
      <c r="E193" s="201"/>
      <c r="F193" s="190"/>
      <c r="G193" s="190"/>
      <c r="H193" s="143"/>
      <c r="I193" s="143"/>
      <c r="J193" s="191"/>
      <c r="K193" s="192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0"/>
    </row>
    <row r="194" spans="1:24" ht="16.5">
      <c r="A194" s="143"/>
      <c r="B194" s="218"/>
      <c r="C194" s="198"/>
      <c r="D194" s="190"/>
      <c r="E194" s="201"/>
      <c r="F194" s="190"/>
      <c r="G194" s="190"/>
      <c r="H194" s="143"/>
      <c r="I194" s="143"/>
      <c r="J194" s="191"/>
      <c r="K194" s="192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0"/>
    </row>
    <row r="195" spans="1:24" ht="16.5">
      <c r="A195" s="143"/>
      <c r="B195" s="218"/>
      <c r="C195" s="198"/>
      <c r="D195" s="190"/>
      <c r="E195" s="201"/>
      <c r="F195" s="190"/>
      <c r="G195" s="190"/>
      <c r="H195" s="143"/>
      <c r="I195" s="143"/>
      <c r="J195" s="191"/>
      <c r="K195" s="192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0"/>
    </row>
    <row r="196" spans="1:24" ht="16.5">
      <c r="A196" s="143"/>
      <c r="B196" s="218"/>
      <c r="C196" s="198"/>
      <c r="D196" s="190"/>
      <c r="E196" s="201"/>
      <c r="F196" s="190"/>
      <c r="G196" s="190"/>
      <c r="H196" s="143"/>
      <c r="I196" s="143"/>
      <c r="J196" s="191"/>
      <c r="K196" s="192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0"/>
    </row>
    <row r="197" spans="1:24" ht="16.5">
      <c r="A197" s="143"/>
      <c r="B197" s="218"/>
      <c r="C197" s="198"/>
      <c r="D197" s="190"/>
      <c r="E197" s="201"/>
      <c r="F197" s="190"/>
      <c r="G197" s="190"/>
      <c r="H197" s="143"/>
      <c r="I197" s="143"/>
      <c r="J197" s="191"/>
      <c r="K197" s="192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0"/>
    </row>
    <row r="198" spans="1:24" ht="16.5">
      <c r="A198" s="143"/>
      <c r="B198" s="218"/>
      <c r="C198" s="198"/>
      <c r="D198" s="190"/>
      <c r="E198" s="201"/>
      <c r="F198" s="190"/>
      <c r="G198" s="190"/>
      <c r="H198" s="143"/>
      <c r="I198" s="143"/>
      <c r="J198" s="191"/>
      <c r="K198" s="192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0"/>
    </row>
    <row r="199" spans="1:24" ht="16.5">
      <c r="A199" s="143"/>
      <c r="B199" s="218"/>
      <c r="C199" s="198"/>
      <c r="D199" s="190"/>
      <c r="E199" s="201"/>
      <c r="F199" s="190"/>
      <c r="G199" s="190"/>
      <c r="H199" s="143"/>
      <c r="I199" s="143"/>
      <c r="J199" s="191"/>
      <c r="K199" s="192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0"/>
    </row>
    <row r="200" spans="1:24"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6"/>
      <c r="V200" s="115"/>
      <c r="W200" s="116"/>
    </row>
  </sheetData>
  <autoFilter ref="B4:X49" xr:uid="{2BBABCC8-2CD3-42B8-AB7C-43BADA6D16EA}"/>
  <mergeCells count="20">
    <mergeCell ref="A3:A4"/>
    <mergeCell ref="A2:I2"/>
    <mergeCell ref="B5:I5"/>
    <mergeCell ref="D3:D4"/>
    <mergeCell ref="J3:J4"/>
    <mergeCell ref="K3:K4"/>
    <mergeCell ref="L3:M3"/>
    <mergeCell ref="C3:C4"/>
    <mergeCell ref="B3:B4"/>
    <mergeCell ref="F3:F4"/>
    <mergeCell ref="E3:E4"/>
    <mergeCell ref="G3:G4"/>
    <mergeCell ref="H3:H4"/>
    <mergeCell ref="I3:I4"/>
    <mergeCell ref="L1:N1"/>
    <mergeCell ref="P1:R1"/>
    <mergeCell ref="U1:V1"/>
    <mergeCell ref="W1:X1"/>
    <mergeCell ref="N3:P3"/>
    <mergeCell ref="Q3:V3"/>
  </mergeCells>
  <phoneticPr fontId="29" type="noConversion"/>
  <conditionalFormatting sqref="J5:N5 A7:X199">
    <cfRule type="expression" dxfId="34" priority="3">
      <formula>MOD(ROW(),2)=0</formula>
    </cfRule>
  </conditionalFormatting>
  <conditionalFormatting sqref="B5">
    <cfRule type="expression" dxfId="33" priority="6">
      <formula>MOD(ROW(),2)=0</formula>
    </cfRule>
  </conditionalFormatting>
  <conditionalFormatting sqref="O5:X5">
    <cfRule type="expression" dxfId="32" priority="5">
      <formula>MOD(ROW(),2)=0</formula>
    </cfRule>
  </conditionalFormatting>
  <dataValidations count="1">
    <dataValidation type="date" allowBlank="1" showInputMessage="1" showErrorMessage="1" sqref="C1" xr:uid="{2607D1B4-3BDC-44CE-969A-1C9970DF3EDF}">
      <formula1>43831</formula1>
      <formula2>44166</formula2>
    </dataValidation>
  </dataValidations>
  <pageMargins left="7.7777777777777807E-2" right="0.196527777777778" top="0.235416666666667" bottom="7.7777777777777807E-2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4606" r:id="rId4" name="CommandButton2">
          <controlPr defaultSize="0" print="0" autoFill="0" autoLine="0" r:id="rId5">
            <anchor moveWithCells="1">
              <from>
                <xdr:col>13</xdr:col>
                <xdr:colOff>819150</xdr:colOff>
                <xdr:row>0</xdr:row>
                <xdr:rowOff>66675</xdr:rowOff>
              </from>
              <to>
                <xdr:col>15</xdr:col>
                <xdr:colOff>66675</xdr:colOff>
                <xdr:row>0</xdr:row>
                <xdr:rowOff>438150</xdr:rowOff>
              </to>
            </anchor>
          </controlPr>
        </control>
      </mc:Choice>
      <mc:Fallback>
        <control shapeId="24606" r:id="rId4" name="CommandButton2"/>
      </mc:Fallback>
    </mc:AlternateContent>
    <mc:AlternateContent xmlns:mc="http://schemas.openxmlformats.org/markup-compatibility/2006">
      <mc:Choice Requires="x14">
        <control shapeId="24577" r:id="rId6" name="CommandButton1">
          <controlPr defaultSize="0" print="0" autoFill="0" autoLine="0" r:id="rId7">
            <anchor moveWithCells="1">
              <from>
                <xdr:col>18</xdr:col>
                <xdr:colOff>152400</xdr:colOff>
                <xdr:row>0</xdr:row>
                <xdr:rowOff>66675</xdr:rowOff>
              </from>
              <to>
                <xdr:col>19</xdr:col>
                <xdr:colOff>771525</xdr:colOff>
                <xdr:row>0</xdr:row>
                <xdr:rowOff>438150</xdr:rowOff>
              </to>
            </anchor>
          </controlPr>
        </control>
      </mc:Choice>
      <mc:Fallback>
        <control shapeId="24577" r:id="rId6" name="CommandButton1"/>
      </mc:Fallback>
    </mc:AlternateContent>
    <mc:AlternateContent xmlns:mc="http://schemas.openxmlformats.org/markup-compatibility/2006">
      <mc:Choice Requires="x14">
        <control shapeId="24605" r:id="rId8" name="ListBox1">
          <controlPr defaultSize="0" print="0" autoLine="0" r:id="rId9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219075</xdr:colOff>
                <xdr:row>12</xdr:row>
                <xdr:rowOff>85725</xdr:rowOff>
              </to>
            </anchor>
          </controlPr>
        </control>
      </mc:Choice>
      <mc:Fallback>
        <control shapeId="24605" r:id="rId8" name="Lis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BD97-F455-4220-91CE-EA77991D2926}">
  <sheetPr codeName="Sheet12"/>
  <dimension ref="A1:W201"/>
  <sheetViews>
    <sheetView workbookViewId="0">
      <pane ySplit="4" topLeftCell="A5" activePane="bottomLeft" state="frozen"/>
      <selection pane="bottomLeft" activeCell="M17" sqref="M17"/>
    </sheetView>
  </sheetViews>
  <sheetFormatPr defaultColWidth="9" defaultRowHeight="13.5"/>
  <cols>
    <col min="1" max="1" width="4.5" style="83" customWidth="1"/>
    <col min="2" max="2" width="10.75" style="82" customWidth="1"/>
    <col min="3" max="3" width="28.375" style="106" customWidth="1"/>
    <col min="4" max="4" width="13.5" style="105" customWidth="1"/>
    <col min="5" max="5" width="10.75" style="105" customWidth="1"/>
    <col min="6" max="6" width="13.5" style="105" customWidth="1"/>
    <col min="7" max="7" width="4" style="82" customWidth="1"/>
    <col min="8" max="8" width="6.625" style="82" customWidth="1"/>
    <col min="9" max="10" width="8.375" style="82" customWidth="1"/>
    <col min="11" max="12" width="12.5" style="82" customWidth="1"/>
    <col min="13" max="16" width="11.125" style="82" customWidth="1"/>
    <col min="17" max="17" width="8.75" style="82" customWidth="1"/>
    <col min="18" max="18" width="9.375" style="82" customWidth="1"/>
    <col min="19" max="19" width="12.375" style="82" customWidth="1"/>
    <col min="20" max="20" width="12.5" style="83" customWidth="1"/>
    <col min="21" max="21" width="8.75" style="82" customWidth="1"/>
    <col min="22" max="22" width="12.25" style="83" customWidth="1"/>
    <col min="23" max="23" width="14.75" style="106" customWidth="1"/>
    <col min="24" max="16384" width="9" style="82"/>
  </cols>
  <sheetData>
    <row r="1" spans="1:23" ht="43.5" customHeight="1">
      <c r="A1" s="103"/>
      <c r="B1" s="134" t="str">
        <f ca="1">MID(CELL("filename"),FIND("]",CELL("filename"))+1,99)</f>
        <v>05合同供应商明细表</v>
      </c>
      <c r="C1" s="135" t="str">
        <f>"收入合计："&amp;TEXT(SUBTOTAL(9,G5:H4999),"0.00")</f>
        <v>收入合计：0.00</v>
      </c>
      <c r="D1" s="134" t="str">
        <f ca="1">MID(CELL("filename"),FIND("]",CELL("filename"))+1,99)</f>
        <v>05合同供应商明细表</v>
      </c>
      <c r="E1" s="134"/>
      <c r="F1" s="135" t="str">
        <f>"收入合计："&amp;TEXT(SUBTOTAL(9,J5:K4999),"0.00")</f>
        <v>收入合计：200.00</v>
      </c>
      <c r="G1" s="123"/>
      <c r="H1" s="123"/>
      <c r="I1" s="123"/>
      <c r="K1" s="284" t="str">
        <f>"支出合计："&amp;TEXT(SUBTOTAL(9,M5:U4999),"0.00")</f>
        <v>支出合计：207952.42</v>
      </c>
      <c r="L1" s="284"/>
      <c r="M1" s="284"/>
      <c r="O1" s="285" t="str">
        <f>"账户余额："&amp;(V5+SUBTOTAL(9,K5:L4999)-SUBTOTAL(9,M5:U4999))</f>
        <v>账户余额：111887.34</v>
      </c>
      <c r="P1" s="285"/>
      <c r="Q1" s="285"/>
      <c r="R1" s="107"/>
      <c r="S1" s="108"/>
      <c r="T1" s="286" t="s">
        <v>218</v>
      </c>
      <c r="U1" s="286"/>
      <c r="V1" s="286" t="s">
        <v>219</v>
      </c>
      <c r="W1" s="286"/>
    </row>
    <row r="2" spans="1:23" ht="13.5" customHeight="1">
      <c r="A2" s="301" t="s">
        <v>173</v>
      </c>
      <c r="B2" s="301"/>
      <c r="C2" s="301"/>
      <c r="D2" s="301"/>
      <c r="E2" s="301"/>
      <c r="F2" s="301"/>
      <c r="G2" s="301"/>
      <c r="H2" s="311"/>
      <c r="I2" s="109">
        <f>SUM(I5:I4999)</f>
        <v>0</v>
      </c>
      <c r="J2" s="109">
        <f t="shared" ref="J2:U2" si="0">SUM(J5:J4999)</f>
        <v>0</v>
      </c>
      <c r="K2" s="110">
        <f t="shared" si="0"/>
        <v>200</v>
      </c>
      <c r="L2" s="110">
        <f t="shared" si="0"/>
        <v>143243</v>
      </c>
      <c r="M2" s="110">
        <f t="shared" si="0"/>
        <v>81482</v>
      </c>
      <c r="N2" s="110">
        <f t="shared" si="0"/>
        <v>5621</v>
      </c>
      <c r="O2" s="110">
        <f t="shared" si="0"/>
        <v>23500</v>
      </c>
      <c r="P2" s="110">
        <f t="shared" si="0"/>
        <v>0</v>
      </c>
      <c r="Q2" s="110">
        <f t="shared" si="0"/>
        <v>27092.03</v>
      </c>
      <c r="R2" s="110">
        <f t="shared" si="0"/>
        <v>8299.39</v>
      </c>
      <c r="S2" s="110">
        <f t="shared" si="0"/>
        <v>14683</v>
      </c>
      <c r="T2" s="110">
        <f t="shared" si="0"/>
        <v>39784</v>
      </c>
      <c r="U2" s="110">
        <f t="shared" si="0"/>
        <v>7491</v>
      </c>
      <c r="V2" s="156" t="s">
        <v>188</v>
      </c>
      <c r="W2" s="158" t="s">
        <v>189</v>
      </c>
    </row>
    <row r="3" spans="1:23" ht="21.75" customHeight="1">
      <c r="A3" s="307" t="s">
        <v>45</v>
      </c>
      <c r="B3" s="312" t="s">
        <v>40</v>
      </c>
      <c r="C3" s="307" t="s">
        <v>42</v>
      </c>
      <c r="D3" s="307" t="s">
        <v>39</v>
      </c>
      <c r="E3" s="307" t="s">
        <v>183</v>
      </c>
      <c r="F3" s="307" t="s">
        <v>44</v>
      </c>
      <c r="G3" s="307" t="s">
        <v>164</v>
      </c>
      <c r="H3" s="309" t="s">
        <v>165</v>
      </c>
      <c r="I3" s="309" t="s">
        <v>167</v>
      </c>
      <c r="J3" s="309" t="s">
        <v>168</v>
      </c>
      <c r="K3" s="300" t="s">
        <v>169</v>
      </c>
      <c r="L3" s="311"/>
      <c r="M3" s="300" t="s">
        <v>179</v>
      </c>
      <c r="N3" s="301"/>
      <c r="O3" s="301"/>
      <c r="P3" s="302" t="s">
        <v>166</v>
      </c>
      <c r="Q3" s="302"/>
      <c r="R3" s="302"/>
      <c r="S3" s="302"/>
      <c r="T3" s="302"/>
      <c r="U3" s="302"/>
      <c r="V3" s="159">
        <v>10000</v>
      </c>
      <c r="W3" s="160">
        <v>166396.76</v>
      </c>
    </row>
    <row r="4" spans="1:23" ht="30.75" customHeight="1">
      <c r="A4" s="308" t="s">
        <v>45</v>
      </c>
      <c r="B4" s="313"/>
      <c r="C4" s="308"/>
      <c r="D4" s="308"/>
      <c r="E4" s="308"/>
      <c r="F4" s="308"/>
      <c r="G4" s="308" t="s">
        <v>164</v>
      </c>
      <c r="H4" s="310" t="s">
        <v>165</v>
      </c>
      <c r="I4" s="310" t="s">
        <v>167</v>
      </c>
      <c r="J4" s="310" t="s">
        <v>168</v>
      </c>
      <c r="K4" s="158" t="s">
        <v>10</v>
      </c>
      <c r="L4" s="158" t="s">
        <v>11</v>
      </c>
      <c r="M4" s="158" t="s">
        <v>190</v>
      </c>
      <c r="N4" s="158" t="s">
        <v>174</v>
      </c>
      <c r="O4" s="158" t="s">
        <v>175</v>
      </c>
      <c r="P4" s="158" t="s">
        <v>176</v>
      </c>
      <c r="Q4" s="158" t="s">
        <v>177</v>
      </c>
      <c r="R4" s="158" t="s">
        <v>53</v>
      </c>
      <c r="S4" s="158" t="s">
        <v>180</v>
      </c>
      <c r="T4" s="158" t="s">
        <v>54</v>
      </c>
      <c r="U4" s="158" t="s">
        <v>178</v>
      </c>
      <c r="V4" s="157" t="s">
        <v>170</v>
      </c>
      <c r="W4" s="157" t="s">
        <v>171</v>
      </c>
    </row>
    <row r="5" spans="1:23" ht="16.5">
      <c r="A5" s="82"/>
      <c r="B5" s="303" t="s">
        <v>55</v>
      </c>
      <c r="C5" s="304"/>
      <c r="D5" s="305"/>
      <c r="E5" s="305"/>
      <c r="F5" s="305"/>
      <c r="G5" s="305"/>
      <c r="H5" s="306"/>
      <c r="I5" s="111"/>
      <c r="J5" s="112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>
        <v>176396.76</v>
      </c>
      <c r="W5" s="117" t="s">
        <v>56</v>
      </c>
    </row>
    <row r="6" spans="1:23" ht="33">
      <c r="A6" s="48"/>
      <c r="B6" s="118">
        <v>21210105</v>
      </c>
      <c r="C6" s="104" t="s">
        <v>58</v>
      </c>
      <c r="D6" s="104" t="s">
        <v>57</v>
      </c>
      <c r="E6" s="104"/>
      <c r="F6" s="104"/>
      <c r="G6" s="48" t="s">
        <v>59</v>
      </c>
      <c r="H6" s="48"/>
      <c r="I6" s="113"/>
      <c r="J6" s="114"/>
      <c r="K6" s="113">
        <v>200</v>
      </c>
      <c r="L6" s="113">
        <v>9990</v>
      </c>
      <c r="M6" s="113"/>
      <c r="N6" s="113"/>
      <c r="O6" s="113"/>
      <c r="P6" s="113"/>
      <c r="Q6" s="113"/>
      <c r="R6" s="113"/>
      <c r="S6" s="113"/>
      <c r="T6" s="113"/>
      <c r="U6" s="113"/>
      <c r="V6" s="113">
        <f t="shared" ref="V6:V49" si="1">V5-U6-T6-S6-R6-Q6-M6+L6-N6-P6-O6</f>
        <v>186386.76</v>
      </c>
      <c r="W6" s="104" t="s">
        <v>60</v>
      </c>
    </row>
    <row r="7" spans="1:23" ht="16.5">
      <c r="A7" s="48"/>
      <c r="B7" s="118">
        <v>20210109</v>
      </c>
      <c r="C7" s="104" t="s">
        <v>62</v>
      </c>
      <c r="D7" s="104" t="s">
        <v>61</v>
      </c>
      <c r="E7" s="104"/>
      <c r="F7" s="104"/>
      <c r="G7" s="48"/>
      <c r="H7" s="48"/>
      <c r="I7" s="113"/>
      <c r="J7" s="114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>
        <v>3000</v>
      </c>
      <c r="V7" s="113">
        <f t="shared" si="1"/>
        <v>183386.76</v>
      </c>
      <c r="W7" s="104" t="s">
        <v>63</v>
      </c>
    </row>
    <row r="8" spans="1:23" ht="16.5">
      <c r="A8" s="48"/>
      <c r="B8" s="118">
        <v>20210109</v>
      </c>
      <c r="C8" s="104" t="s">
        <v>65</v>
      </c>
      <c r="D8" s="104" t="s">
        <v>64</v>
      </c>
      <c r="E8" s="104"/>
      <c r="F8" s="104"/>
      <c r="G8" s="48"/>
      <c r="H8" s="48"/>
      <c r="I8" s="113"/>
      <c r="J8" s="114"/>
      <c r="K8" s="113"/>
      <c r="L8" s="113"/>
      <c r="M8" s="113"/>
      <c r="N8" s="113"/>
      <c r="O8" s="113"/>
      <c r="P8" s="113"/>
      <c r="Q8" s="113"/>
      <c r="R8" s="113">
        <v>1791.69</v>
      </c>
      <c r="S8" s="113"/>
      <c r="T8" s="113"/>
      <c r="U8" s="113"/>
      <c r="V8" s="113">
        <f t="shared" si="1"/>
        <v>181595.07</v>
      </c>
      <c r="W8" s="104" t="s">
        <v>63</v>
      </c>
    </row>
    <row r="9" spans="1:23" ht="16.5">
      <c r="A9" s="48"/>
      <c r="B9" s="118">
        <v>20210109</v>
      </c>
      <c r="C9" s="104" t="s">
        <v>65</v>
      </c>
      <c r="D9" s="104"/>
      <c r="E9" s="104"/>
      <c r="F9" s="104"/>
      <c r="G9" s="48"/>
      <c r="H9" s="48"/>
      <c r="I9" s="113"/>
      <c r="J9" s="114"/>
      <c r="K9" s="113"/>
      <c r="L9" s="113"/>
      <c r="M9" s="113"/>
      <c r="N9" s="113"/>
      <c r="O9" s="113"/>
      <c r="P9" s="113"/>
      <c r="Q9" s="113"/>
      <c r="R9" s="113">
        <v>1931.7</v>
      </c>
      <c r="S9" s="113"/>
      <c r="T9" s="113"/>
      <c r="U9" s="113"/>
      <c r="V9" s="113">
        <f t="shared" si="1"/>
        <v>179663.37</v>
      </c>
      <c r="W9" s="104" t="s">
        <v>63</v>
      </c>
    </row>
    <row r="10" spans="1:23" ht="16.5">
      <c r="A10" s="48"/>
      <c r="B10" s="118">
        <v>20210110</v>
      </c>
      <c r="C10" s="104" t="s">
        <v>66</v>
      </c>
      <c r="D10" s="104"/>
      <c r="E10" s="104"/>
      <c r="F10" s="104"/>
      <c r="G10" s="48"/>
      <c r="H10" s="48"/>
      <c r="I10" s="113"/>
      <c r="J10" s="114"/>
      <c r="K10" s="113"/>
      <c r="L10" s="113"/>
      <c r="M10" s="113"/>
      <c r="N10" s="113"/>
      <c r="O10" s="113"/>
      <c r="P10" s="113"/>
      <c r="Q10" s="113"/>
      <c r="R10" s="113"/>
      <c r="S10" s="113">
        <f>370*10</f>
        <v>3700</v>
      </c>
      <c r="T10" s="113"/>
      <c r="U10" s="113"/>
      <c r="V10" s="113">
        <f t="shared" si="1"/>
        <v>175963.37</v>
      </c>
      <c r="W10" s="104" t="s">
        <v>67</v>
      </c>
    </row>
    <row r="11" spans="1:23" ht="16.5">
      <c r="A11" s="48"/>
      <c r="B11" s="118">
        <v>20210112</v>
      </c>
      <c r="C11" s="104" t="s">
        <v>68</v>
      </c>
      <c r="D11" s="104"/>
      <c r="E11" s="104"/>
      <c r="F11" s="104"/>
      <c r="G11" s="48"/>
      <c r="H11" s="48"/>
      <c r="I11" s="113"/>
      <c r="J11" s="114"/>
      <c r="K11" s="113"/>
      <c r="L11" s="113"/>
      <c r="M11" s="113"/>
      <c r="N11" s="113"/>
      <c r="O11" s="113"/>
      <c r="P11" s="113"/>
      <c r="Q11" s="113"/>
      <c r="R11" s="113"/>
      <c r="S11" s="113">
        <f>8*370</f>
        <v>2960</v>
      </c>
      <c r="T11" s="113"/>
      <c r="U11" s="113"/>
      <c r="V11" s="113">
        <f t="shared" si="1"/>
        <v>173003.37</v>
      </c>
      <c r="W11" s="104" t="s">
        <v>67</v>
      </c>
    </row>
    <row r="12" spans="1:23" ht="16.5">
      <c r="A12" s="48"/>
      <c r="B12" s="118">
        <v>20210112</v>
      </c>
      <c r="C12" s="104" t="s">
        <v>70</v>
      </c>
      <c r="D12" s="104" t="s">
        <v>69</v>
      </c>
      <c r="E12" s="104"/>
      <c r="F12" s="104"/>
      <c r="G12" s="48"/>
      <c r="H12" s="48"/>
      <c r="I12" s="113"/>
      <c r="J12" s="114"/>
      <c r="K12" s="113"/>
      <c r="L12" s="113">
        <v>30000</v>
      </c>
      <c r="M12" s="113"/>
      <c r="N12" s="113"/>
      <c r="O12" s="113"/>
      <c r="P12" s="113"/>
      <c r="Q12" s="113"/>
      <c r="R12" s="113"/>
      <c r="S12" s="113"/>
      <c r="T12" s="113"/>
      <c r="U12" s="113"/>
      <c r="V12" s="113">
        <f t="shared" si="1"/>
        <v>203003.37</v>
      </c>
      <c r="W12" s="104" t="s">
        <v>71</v>
      </c>
    </row>
    <row r="13" spans="1:23" ht="16.5">
      <c r="A13" s="48"/>
      <c r="B13" s="118">
        <v>20210115</v>
      </c>
      <c r="C13" s="104" t="s">
        <v>73</v>
      </c>
      <c r="D13" s="104" t="s">
        <v>72</v>
      </c>
      <c r="E13" s="104"/>
      <c r="F13" s="104"/>
      <c r="G13" s="48"/>
      <c r="H13" s="48"/>
      <c r="I13" s="113"/>
      <c r="J13" s="114"/>
      <c r="K13" s="113"/>
      <c r="L13" s="113">
        <v>2000</v>
      </c>
      <c r="M13" s="113"/>
      <c r="N13" s="113"/>
      <c r="O13" s="113"/>
      <c r="P13" s="113"/>
      <c r="Q13" s="113"/>
      <c r="R13" s="113"/>
      <c r="S13" s="113"/>
      <c r="T13" s="113"/>
      <c r="U13" s="113"/>
      <c r="V13" s="113">
        <f t="shared" si="1"/>
        <v>205003.37</v>
      </c>
      <c r="W13" s="104"/>
    </row>
    <row r="14" spans="1:23" ht="16.5">
      <c r="A14" s="48"/>
      <c r="B14" s="118">
        <v>20210115</v>
      </c>
      <c r="C14" s="104" t="s">
        <v>75</v>
      </c>
      <c r="D14" s="104" t="s">
        <v>74</v>
      </c>
      <c r="E14" s="104"/>
      <c r="F14" s="104"/>
      <c r="G14" s="48"/>
      <c r="H14" s="48"/>
      <c r="I14" s="113"/>
      <c r="J14" s="114"/>
      <c r="K14" s="113"/>
      <c r="L14" s="113"/>
      <c r="M14" s="113"/>
      <c r="N14" s="113"/>
      <c r="O14" s="113"/>
      <c r="P14" s="113"/>
      <c r="Q14" s="113"/>
      <c r="R14" s="113">
        <v>4379</v>
      </c>
      <c r="S14" s="113"/>
      <c r="T14" s="113"/>
      <c r="U14" s="113"/>
      <c r="V14" s="113">
        <f t="shared" si="1"/>
        <v>200624.37</v>
      </c>
      <c r="W14" s="104" t="s">
        <v>76</v>
      </c>
    </row>
    <row r="15" spans="1:23" ht="33">
      <c r="A15" s="48"/>
      <c r="B15" s="118">
        <v>20210115</v>
      </c>
      <c r="C15" s="104" t="s">
        <v>181</v>
      </c>
      <c r="D15" s="104"/>
      <c r="E15" s="104"/>
      <c r="F15" s="104"/>
      <c r="G15" s="48"/>
      <c r="H15" s="48" t="s">
        <v>77</v>
      </c>
      <c r="I15" s="113"/>
      <c r="J15" s="114"/>
      <c r="K15" s="113"/>
      <c r="L15" s="113"/>
      <c r="M15" s="113">
        <v>1027</v>
      </c>
      <c r="N15" s="113"/>
      <c r="O15" s="113"/>
      <c r="P15" s="113"/>
      <c r="Q15" s="113"/>
      <c r="R15" s="113"/>
      <c r="S15" s="113"/>
      <c r="T15" s="113"/>
      <c r="U15" s="113"/>
      <c r="V15" s="113">
        <f t="shared" si="1"/>
        <v>199597.37</v>
      </c>
      <c r="W15" s="104" t="s">
        <v>78</v>
      </c>
    </row>
    <row r="16" spans="1:23" ht="16.5">
      <c r="A16" s="48"/>
      <c r="B16" s="118">
        <v>20210115</v>
      </c>
      <c r="C16" s="104" t="s">
        <v>80</v>
      </c>
      <c r="D16" s="104" t="s">
        <v>79</v>
      </c>
      <c r="E16" s="104"/>
      <c r="F16" s="104"/>
      <c r="G16" s="48"/>
      <c r="H16" s="48"/>
      <c r="I16" s="113"/>
      <c r="J16" s="114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>
        <v>4041</v>
      </c>
      <c r="V16" s="113">
        <f t="shared" si="1"/>
        <v>195556.37</v>
      </c>
      <c r="W16" s="104" t="s">
        <v>81</v>
      </c>
    </row>
    <row r="17" spans="1:23" ht="16.5">
      <c r="A17" s="48"/>
      <c r="B17" s="118">
        <v>20210115</v>
      </c>
      <c r="C17" s="104" t="s">
        <v>82</v>
      </c>
      <c r="D17" s="104"/>
      <c r="E17" s="104"/>
      <c r="F17" s="104"/>
      <c r="G17" s="48"/>
      <c r="H17" s="48"/>
      <c r="I17" s="113"/>
      <c r="J17" s="114"/>
      <c r="K17" s="113"/>
      <c r="L17" s="113"/>
      <c r="M17" s="113"/>
      <c r="N17" s="113"/>
      <c r="O17" s="113"/>
      <c r="P17" s="113"/>
      <c r="Q17" s="113"/>
      <c r="R17" s="113"/>
      <c r="S17" s="113"/>
      <c r="T17" s="113">
        <v>6000</v>
      </c>
      <c r="U17" s="113"/>
      <c r="V17" s="113">
        <f t="shared" si="1"/>
        <v>189556.37</v>
      </c>
      <c r="W17" s="104"/>
    </row>
    <row r="18" spans="1:23" ht="16.5">
      <c r="A18" s="48"/>
      <c r="B18" s="118">
        <v>20210115</v>
      </c>
      <c r="C18" s="104" t="s">
        <v>83</v>
      </c>
      <c r="D18" s="104"/>
      <c r="E18" s="104"/>
      <c r="F18" s="104"/>
      <c r="G18" s="48"/>
      <c r="H18" s="48"/>
      <c r="I18" s="113"/>
      <c r="J18" s="114"/>
      <c r="K18" s="113"/>
      <c r="L18" s="113"/>
      <c r="M18" s="113"/>
      <c r="N18" s="113"/>
      <c r="O18" s="113"/>
      <c r="P18" s="113"/>
      <c r="Q18" s="113"/>
      <c r="R18" s="113"/>
      <c r="S18" s="113"/>
      <c r="T18" s="113">
        <v>3500</v>
      </c>
      <c r="U18" s="113"/>
      <c r="V18" s="113">
        <f t="shared" si="1"/>
        <v>186056.37</v>
      </c>
      <c r="W18" s="104" t="s">
        <v>84</v>
      </c>
    </row>
    <row r="19" spans="1:23" ht="16.5">
      <c r="A19" s="48"/>
      <c r="B19" s="118">
        <v>20210115</v>
      </c>
      <c r="C19" s="104" t="s">
        <v>85</v>
      </c>
      <c r="D19" s="104"/>
      <c r="E19" s="104"/>
      <c r="F19" s="104"/>
      <c r="G19" s="48"/>
      <c r="H19" s="48"/>
      <c r="I19" s="113"/>
      <c r="J19" s="114"/>
      <c r="K19" s="113"/>
      <c r="L19" s="113"/>
      <c r="M19" s="113"/>
      <c r="N19" s="113"/>
      <c r="O19" s="113"/>
      <c r="P19" s="113"/>
      <c r="Q19" s="113"/>
      <c r="R19" s="113"/>
      <c r="S19" s="113"/>
      <c r="T19" s="113">
        <v>6000</v>
      </c>
      <c r="U19" s="113"/>
      <c r="V19" s="113">
        <f t="shared" si="1"/>
        <v>180056.37</v>
      </c>
      <c r="W19" s="104"/>
    </row>
    <row r="20" spans="1:23" ht="16.5">
      <c r="A20" s="48"/>
      <c r="B20" s="118">
        <v>20210115</v>
      </c>
      <c r="C20" s="104" t="s">
        <v>86</v>
      </c>
      <c r="D20" s="104"/>
      <c r="E20" s="104"/>
      <c r="F20" s="104"/>
      <c r="G20" s="48"/>
      <c r="H20" s="48"/>
      <c r="I20" s="113"/>
      <c r="J20" s="114"/>
      <c r="K20" s="113"/>
      <c r="L20" s="113"/>
      <c r="M20" s="113"/>
      <c r="N20" s="113"/>
      <c r="O20" s="113"/>
      <c r="P20" s="113"/>
      <c r="Q20" s="113"/>
      <c r="R20" s="113"/>
      <c r="S20" s="113"/>
      <c r="T20" s="113">
        <v>3500</v>
      </c>
      <c r="U20" s="113"/>
      <c r="V20" s="113">
        <f t="shared" si="1"/>
        <v>176556.37</v>
      </c>
      <c r="W20" s="104"/>
    </row>
    <row r="21" spans="1:23" ht="16.5">
      <c r="A21" s="48"/>
      <c r="B21" s="118">
        <v>20210115</v>
      </c>
      <c r="C21" s="104" t="s">
        <v>87</v>
      </c>
      <c r="D21" s="104"/>
      <c r="E21" s="104"/>
      <c r="F21" s="104"/>
      <c r="G21" s="48"/>
      <c r="H21" s="48"/>
      <c r="I21" s="113"/>
      <c r="J21" s="114"/>
      <c r="K21" s="113"/>
      <c r="L21" s="113"/>
      <c r="M21" s="113"/>
      <c r="N21" s="113"/>
      <c r="O21" s="113"/>
      <c r="P21" s="113"/>
      <c r="Q21" s="113"/>
      <c r="R21" s="113"/>
      <c r="S21" s="113"/>
      <c r="T21" s="113">
        <v>6892</v>
      </c>
      <c r="U21" s="113"/>
      <c r="V21" s="113">
        <f t="shared" si="1"/>
        <v>169664.37</v>
      </c>
      <c r="W21" s="104"/>
    </row>
    <row r="22" spans="1:23" ht="16.5">
      <c r="A22" s="48"/>
      <c r="B22" s="118">
        <v>20210115</v>
      </c>
      <c r="C22" s="104" t="s">
        <v>88</v>
      </c>
      <c r="D22" s="104"/>
      <c r="E22" s="104"/>
      <c r="F22" s="104"/>
      <c r="G22" s="48"/>
      <c r="H22" s="48"/>
      <c r="I22" s="113"/>
      <c r="J22" s="114"/>
      <c r="K22" s="113"/>
      <c r="L22" s="113"/>
      <c r="M22" s="113"/>
      <c r="N22" s="113"/>
      <c r="O22" s="113"/>
      <c r="P22" s="113"/>
      <c r="Q22" s="113"/>
      <c r="R22" s="113"/>
      <c r="S22" s="113"/>
      <c r="T22" s="113">
        <v>6446</v>
      </c>
      <c r="U22" s="113"/>
      <c r="V22" s="113">
        <f t="shared" si="1"/>
        <v>163218.37</v>
      </c>
      <c r="W22" s="104"/>
    </row>
    <row r="23" spans="1:23" ht="16.5">
      <c r="A23" s="48"/>
      <c r="B23" s="118">
        <v>20210115</v>
      </c>
      <c r="C23" s="104" t="s">
        <v>89</v>
      </c>
      <c r="D23" s="104"/>
      <c r="E23" s="104"/>
      <c r="F23" s="104"/>
      <c r="G23" s="48"/>
      <c r="H23" s="48"/>
      <c r="I23" s="113"/>
      <c r="J23" s="114"/>
      <c r="K23" s="113"/>
      <c r="L23" s="113"/>
      <c r="M23" s="113"/>
      <c r="N23" s="113"/>
      <c r="O23" s="113"/>
      <c r="P23" s="113"/>
      <c r="Q23" s="113"/>
      <c r="R23" s="113"/>
      <c r="S23" s="113"/>
      <c r="T23" s="113">
        <v>3946</v>
      </c>
      <c r="U23" s="113"/>
      <c r="V23" s="113">
        <f t="shared" si="1"/>
        <v>159272.37</v>
      </c>
      <c r="W23" s="104"/>
    </row>
    <row r="24" spans="1:23" ht="16.5">
      <c r="A24" s="48"/>
      <c r="B24" s="118">
        <v>20210115</v>
      </c>
      <c r="C24" s="104" t="s">
        <v>90</v>
      </c>
      <c r="D24" s="104"/>
      <c r="E24" s="104"/>
      <c r="F24" s="104"/>
      <c r="G24" s="48"/>
      <c r="H24" s="48"/>
      <c r="I24" s="113"/>
      <c r="J24" s="114"/>
      <c r="K24" s="113"/>
      <c r="L24" s="113"/>
      <c r="M24" s="113"/>
      <c r="N24" s="113"/>
      <c r="O24" s="113"/>
      <c r="P24" s="113"/>
      <c r="Q24" s="113"/>
      <c r="R24" s="113"/>
      <c r="S24" s="113"/>
      <c r="T24" s="113">
        <v>3500</v>
      </c>
      <c r="U24" s="113"/>
      <c r="V24" s="113">
        <f t="shared" si="1"/>
        <v>155772.37</v>
      </c>
      <c r="W24" s="104"/>
    </row>
    <row r="25" spans="1:23" ht="16.5">
      <c r="A25" s="48"/>
      <c r="B25" s="118">
        <v>20210116</v>
      </c>
      <c r="C25" s="104" t="s">
        <v>91</v>
      </c>
      <c r="D25" s="104"/>
      <c r="E25" s="104"/>
      <c r="F25" s="104"/>
      <c r="G25" s="48"/>
      <c r="H25" s="48"/>
      <c r="I25" s="113"/>
      <c r="J25" s="114"/>
      <c r="K25" s="113"/>
      <c r="L25" s="113">
        <v>20000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>
        <f t="shared" si="1"/>
        <v>175772.37</v>
      </c>
      <c r="W25" s="104" t="s">
        <v>92</v>
      </c>
    </row>
    <row r="26" spans="1:23" ht="16.5">
      <c r="A26" s="48"/>
      <c r="B26" s="118">
        <v>20210116</v>
      </c>
      <c r="C26" s="104" t="s">
        <v>94</v>
      </c>
      <c r="D26" s="104" t="s">
        <v>93</v>
      </c>
      <c r="E26" s="104"/>
      <c r="F26" s="104"/>
      <c r="G26" s="48"/>
      <c r="H26" s="48"/>
      <c r="I26" s="113"/>
      <c r="J26" s="114"/>
      <c r="K26" s="113"/>
      <c r="L26" s="113"/>
      <c r="M26" s="113"/>
      <c r="N26" s="113"/>
      <c r="O26" s="113"/>
      <c r="P26" s="113"/>
      <c r="Q26" s="113"/>
      <c r="R26" s="113"/>
      <c r="S26" s="113">
        <v>7223</v>
      </c>
      <c r="T26" s="113"/>
      <c r="U26" s="113"/>
      <c r="V26" s="113">
        <f t="shared" si="1"/>
        <v>168549.37</v>
      </c>
      <c r="W26" s="104" t="s">
        <v>67</v>
      </c>
    </row>
    <row r="27" spans="1:23" ht="16.5">
      <c r="A27" s="48"/>
      <c r="B27" s="118">
        <v>20210116</v>
      </c>
      <c r="C27" s="104" t="s">
        <v>95</v>
      </c>
      <c r="D27" s="104"/>
      <c r="E27" s="104"/>
      <c r="F27" s="104"/>
      <c r="G27" s="48"/>
      <c r="H27" s="48"/>
      <c r="I27" s="113"/>
      <c r="J27" s="114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>
        <v>450</v>
      </c>
      <c r="V27" s="113">
        <f t="shared" si="1"/>
        <v>168099.37</v>
      </c>
      <c r="W27" s="104" t="s">
        <v>67</v>
      </c>
    </row>
    <row r="28" spans="1:23" ht="16.5">
      <c r="A28" s="48"/>
      <c r="B28" s="118">
        <v>20210116</v>
      </c>
      <c r="C28" s="104" t="s">
        <v>97</v>
      </c>
      <c r="D28" s="104" t="s">
        <v>96</v>
      </c>
      <c r="E28" s="104"/>
      <c r="F28" s="104"/>
      <c r="G28" s="48"/>
      <c r="H28" s="48"/>
      <c r="I28" s="113"/>
      <c r="J28" s="114"/>
      <c r="K28" s="113"/>
      <c r="L28" s="113"/>
      <c r="M28" s="113"/>
      <c r="N28" s="113"/>
      <c r="O28" s="113"/>
      <c r="P28" s="113"/>
      <c r="Q28" s="113">
        <v>500</v>
      </c>
      <c r="R28" s="113"/>
      <c r="S28" s="113"/>
      <c r="T28" s="113"/>
      <c r="U28" s="113"/>
      <c r="V28" s="113">
        <f t="shared" si="1"/>
        <v>167599.37</v>
      </c>
      <c r="W28" s="104" t="s">
        <v>67</v>
      </c>
    </row>
    <row r="29" spans="1:23" ht="16.5">
      <c r="A29" s="48"/>
      <c r="B29" s="118">
        <v>20210116</v>
      </c>
      <c r="C29" s="104" t="s">
        <v>95</v>
      </c>
      <c r="D29" s="104"/>
      <c r="E29" s="104"/>
      <c r="F29" s="104"/>
      <c r="G29" s="48"/>
      <c r="H29" s="48"/>
      <c r="I29" s="113"/>
      <c r="J29" s="114"/>
      <c r="K29" s="113"/>
      <c r="L29" s="113">
        <v>450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>
        <f t="shared" si="1"/>
        <v>168049.37</v>
      </c>
      <c r="W29" s="104" t="s">
        <v>98</v>
      </c>
    </row>
    <row r="30" spans="1:23" ht="16.5">
      <c r="A30" s="48"/>
      <c r="B30" s="118">
        <v>20210116</v>
      </c>
      <c r="C30" s="104" t="s">
        <v>100</v>
      </c>
      <c r="D30" s="104" t="s">
        <v>99</v>
      </c>
      <c r="E30" s="104"/>
      <c r="F30" s="104"/>
      <c r="G30" s="48"/>
      <c r="H30" s="48"/>
      <c r="I30" s="113"/>
      <c r="J30" s="114"/>
      <c r="K30" s="113"/>
      <c r="L30" s="113"/>
      <c r="M30" s="113"/>
      <c r="N30" s="113"/>
      <c r="O30" s="113"/>
      <c r="P30" s="113"/>
      <c r="Q30" s="113"/>
      <c r="R30" s="113">
        <v>45</v>
      </c>
      <c r="S30" s="113"/>
      <c r="T30" s="113"/>
      <c r="U30" s="113"/>
      <c r="V30" s="113">
        <f t="shared" si="1"/>
        <v>168004.37</v>
      </c>
      <c r="W30" s="104" t="s">
        <v>67</v>
      </c>
    </row>
    <row r="31" spans="1:23" ht="16.5">
      <c r="A31" s="48"/>
      <c r="B31" s="118">
        <v>20210116</v>
      </c>
      <c r="C31" s="104" t="s">
        <v>101</v>
      </c>
      <c r="D31" s="104"/>
      <c r="E31" s="104"/>
      <c r="F31" s="104"/>
      <c r="G31" s="48"/>
      <c r="H31" s="48" t="s">
        <v>102</v>
      </c>
      <c r="I31" s="113"/>
      <c r="J31" s="114"/>
      <c r="K31" s="113"/>
      <c r="L31" s="113"/>
      <c r="M31" s="113">
        <v>1184</v>
      </c>
      <c r="N31" s="113"/>
      <c r="O31" s="113"/>
      <c r="P31" s="113"/>
      <c r="Q31" s="113"/>
      <c r="R31" s="113"/>
      <c r="S31" s="113"/>
      <c r="T31" s="113"/>
      <c r="U31" s="113"/>
      <c r="V31" s="113">
        <f t="shared" si="1"/>
        <v>166820.37</v>
      </c>
      <c r="W31" s="104" t="s">
        <v>103</v>
      </c>
    </row>
    <row r="32" spans="1:23" ht="16.5">
      <c r="A32" s="48"/>
      <c r="B32" s="118">
        <v>20210116</v>
      </c>
      <c r="C32" s="104" t="s">
        <v>104</v>
      </c>
      <c r="D32" s="104"/>
      <c r="E32" s="104"/>
      <c r="F32" s="104"/>
      <c r="G32" s="48"/>
      <c r="H32" s="48"/>
      <c r="I32" s="113"/>
      <c r="J32" s="114"/>
      <c r="K32" s="113"/>
      <c r="L32" s="113"/>
      <c r="M32" s="113">
        <v>3400</v>
      </c>
      <c r="N32" s="113"/>
      <c r="O32" s="113"/>
      <c r="P32" s="113"/>
      <c r="Q32" s="113"/>
      <c r="R32" s="113"/>
      <c r="S32" s="113"/>
      <c r="T32" s="113"/>
      <c r="U32" s="113"/>
      <c r="V32" s="113">
        <f t="shared" si="1"/>
        <v>163420.37</v>
      </c>
      <c r="W32" s="104" t="s">
        <v>103</v>
      </c>
    </row>
    <row r="33" spans="1:23" ht="16.5">
      <c r="A33" s="48"/>
      <c r="B33" s="118">
        <v>20210117</v>
      </c>
      <c r="C33" s="104" t="s">
        <v>105</v>
      </c>
      <c r="D33" s="104"/>
      <c r="E33" s="104"/>
      <c r="F33" s="104"/>
      <c r="G33" s="48"/>
      <c r="H33" s="48"/>
      <c r="I33" s="113"/>
      <c r="J33" s="114"/>
      <c r="K33" s="113"/>
      <c r="L33" s="113">
        <v>20000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>
        <f t="shared" si="1"/>
        <v>183420.37</v>
      </c>
      <c r="W33" s="104" t="s">
        <v>92</v>
      </c>
    </row>
    <row r="34" spans="1:23" ht="16.5">
      <c r="A34" s="48"/>
      <c r="B34" s="118">
        <v>20210119</v>
      </c>
      <c r="C34" s="104" t="s">
        <v>107</v>
      </c>
      <c r="D34" s="104" t="s">
        <v>106</v>
      </c>
      <c r="E34" s="104"/>
      <c r="F34" s="104"/>
      <c r="G34" s="48"/>
      <c r="H34" s="48"/>
      <c r="I34" s="113"/>
      <c r="J34" s="114"/>
      <c r="K34" s="113"/>
      <c r="L34" s="113"/>
      <c r="M34" s="113"/>
      <c r="N34" s="113"/>
      <c r="O34" s="113">
        <v>20000</v>
      </c>
      <c r="P34" s="113"/>
      <c r="Q34" s="113"/>
      <c r="R34" s="113"/>
      <c r="S34" s="113"/>
      <c r="T34" s="113"/>
      <c r="U34" s="113"/>
      <c r="V34" s="113">
        <f t="shared" si="1"/>
        <v>163420.37</v>
      </c>
      <c r="W34" s="104" t="s">
        <v>108</v>
      </c>
    </row>
    <row r="35" spans="1:23" ht="16.5">
      <c r="A35" s="48"/>
      <c r="B35" s="118">
        <v>20210119</v>
      </c>
      <c r="C35" s="104" t="s">
        <v>109</v>
      </c>
      <c r="D35" s="104" t="s">
        <v>106</v>
      </c>
      <c r="E35" s="104"/>
      <c r="F35" s="104"/>
      <c r="G35" s="48"/>
      <c r="H35" s="48" t="s">
        <v>110</v>
      </c>
      <c r="I35" s="113"/>
      <c r="J35" s="114"/>
      <c r="K35" s="113"/>
      <c r="L35" s="113"/>
      <c r="M35" s="113">
        <v>315</v>
      </c>
      <c r="N35" s="113"/>
      <c r="O35" s="113"/>
      <c r="P35" s="113"/>
      <c r="Q35" s="113"/>
      <c r="R35" s="113"/>
      <c r="S35" s="113"/>
      <c r="T35" s="113"/>
      <c r="U35" s="113"/>
      <c r="V35" s="113">
        <f t="shared" si="1"/>
        <v>163105.37</v>
      </c>
      <c r="W35" s="104" t="s">
        <v>111</v>
      </c>
    </row>
    <row r="36" spans="1:23" ht="16.5">
      <c r="A36" s="48"/>
      <c r="B36" s="118">
        <v>20210119</v>
      </c>
      <c r="C36" s="104" t="s">
        <v>113</v>
      </c>
      <c r="D36" s="104" t="s">
        <v>112</v>
      </c>
      <c r="E36" s="104"/>
      <c r="F36" s="104"/>
      <c r="G36" s="48"/>
      <c r="H36" s="48" t="s">
        <v>114</v>
      </c>
      <c r="I36" s="113"/>
      <c r="J36" s="114"/>
      <c r="K36" s="113"/>
      <c r="L36" s="113"/>
      <c r="M36" s="113">
        <v>8172</v>
      </c>
      <c r="N36" s="113"/>
      <c r="O36" s="113"/>
      <c r="P36" s="113"/>
      <c r="Q36" s="113"/>
      <c r="R36" s="113"/>
      <c r="S36" s="113"/>
      <c r="T36" s="113"/>
      <c r="U36" s="113"/>
      <c r="V36" s="113">
        <f t="shared" si="1"/>
        <v>154933.37</v>
      </c>
      <c r="W36" s="104" t="s">
        <v>115</v>
      </c>
    </row>
    <row r="37" spans="1:23" ht="16.5">
      <c r="A37" s="48"/>
      <c r="B37" s="118">
        <v>20210125</v>
      </c>
      <c r="C37" s="104" t="s">
        <v>116</v>
      </c>
      <c r="D37" s="104"/>
      <c r="E37" s="104"/>
      <c r="F37" s="104"/>
      <c r="G37" s="48"/>
      <c r="H37" s="48"/>
      <c r="I37" s="113"/>
      <c r="J37" s="114"/>
      <c r="K37" s="113"/>
      <c r="L37" s="113">
        <v>4041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>
        <f t="shared" si="1"/>
        <v>158974.37</v>
      </c>
      <c r="W37" s="104" t="s">
        <v>117</v>
      </c>
    </row>
    <row r="38" spans="1:23" ht="16.5">
      <c r="A38" s="48"/>
      <c r="B38" s="118">
        <v>20210125</v>
      </c>
      <c r="C38" s="104" t="s">
        <v>118</v>
      </c>
      <c r="D38" s="104" t="s">
        <v>112</v>
      </c>
      <c r="E38" s="104"/>
      <c r="F38" s="104"/>
      <c r="G38" s="48"/>
      <c r="H38" s="48"/>
      <c r="I38" s="113"/>
      <c r="J38" s="114"/>
      <c r="K38" s="113"/>
      <c r="L38" s="113">
        <v>6762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>
        <f t="shared" si="1"/>
        <v>165736.37</v>
      </c>
      <c r="W38" s="104" t="s">
        <v>119</v>
      </c>
    </row>
    <row r="39" spans="1:23" ht="16.5">
      <c r="A39" s="48"/>
      <c r="B39" s="118">
        <v>20210125</v>
      </c>
      <c r="C39" s="104" t="s">
        <v>120</v>
      </c>
      <c r="D39" s="104" t="s">
        <v>112</v>
      </c>
      <c r="E39" s="104"/>
      <c r="F39" s="104"/>
      <c r="G39" s="48"/>
      <c r="H39" s="48"/>
      <c r="I39" s="113"/>
      <c r="J39" s="114"/>
      <c r="K39" s="113"/>
      <c r="L39" s="113"/>
      <c r="M39" s="113">
        <v>10162</v>
      </c>
      <c r="N39" s="113"/>
      <c r="O39" s="113"/>
      <c r="P39" s="113"/>
      <c r="Q39" s="113"/>
      <c r="R39" s="113"/>
      <c r="S39" s="113"/>
      <c r="T39" s="113"/>
      <c r="U39" s="113"/>
      <c r="V39" s="113">
        <f t="shared" si="1"/>
        <v>155574.37</v>
      </c>
      <c r="W39" s="104" t="s">
        <v>121</v>
      </c>
    </row>
    <row r="40" spans="1:23" ht="33">
      <c r="A40" s="48"/>
      <c r="B40" s="118">
        <v>20210125</v>
      </c>
      <c r="C40" s="104" t="s">
        <v>122</v>
      </c>
      <c r="D40" s="104" t="s">
        <v>112</v>
      </c>
      <c r="E40" s="104"/>
      <c r="F40" s="104"/>
      <c r="G40" s="48"/>
      <c r="H40" s="48" t="s">
        <v>123</v>
      </c>
      <c r="I40" s="113"/>
      <c r="J40" s="114"/>
      <c r="K40" s="113"/>
      <c r="L40" s="113"/>
      <c r="M40" s="113">
        <v>6642</v>
      </c>
      <c r="N40" s="113"/>
      <c r="O40" s="113"/>
      <c r="P40" s="113"/>
      <c r="Q40" s="113"/>
      <c r="R40" s="113"/>
      <c r="S40" s="113"/>
      <c r="T40" s="113"/>
      <c r="U40" s="113"/>
      <c r="V40" s="113">
        <f t="shared" si="1"/>
        <v>148932.37</v>
      </c>
      <c r="W40" s="104" t="s">
        <v>124</v>
      </c>
    </row>
    <row r="41" spans="1:23" ht="16.5">
      <c r="A41" s="48"/>
      <c r="B41" s="118">
        <v>20210125</v>
      </c>
      <c r="C41" s="104" t="s">
        <v>125</v>
      </c>
      <c r="D41" s="104" t="s">
        <v>112</v>
      </c>
      <c r="E41" s="104"/>
      <c r="F41" s="104"/>
      <c r="G41" s="48"/>
      <c r="H41" s="48" t="s">
        <v>126</v>
      </c>
      <c r="I41" s="113"/>
      <c r="J41" s="114"/>
      <c r="K41" s="113"/>
      <c r="L41" s="113"/>
      <c r="M41" s="113">
        <v>12092</v>
      </c>
      <c r="N41" s="113"/>
      <c r="O41" s="113"/>
      <c r="P41" s="113"/>
      <c r="Q41" s="113"/>
      <c r="R41" s="113"/>
      <c r="S41" s="113"/>
      <c r="T41" s="113"/>
      <c r="U41" s="113"/>
      <c r="V41" s="113">
        <f t="shared" si="1"/>
        <v>136840.37</v>
      </c>
      <c r="W41" s="104" t="s">
        <v>127</v>
      </c>
    </row>
    <row r="42" spans="1:23" ht="16.5">
      <c r="A42" s="48"/>
      <c r="B42" s="118">
        <v>20210125</v>
      </c>
      <c r="C42" s="104" t="s">
        <v>129</v>
      </c>
      <c r="D42" s="104" t="s">
        <v>128</v>
      </c>
      <c r="E42" s="104"/>
      <c r="F42" s="104"/>
      <c r="G42" s="48"/>
      <c r="H42" s="48"/>
      <c r="I42" s="113"/>
      <c r="J42" s="114"/>
      <c r="K42" s="113"/>
      <c r="L42" s="113"/>
      <c r="M42" s="113"/>
      <c r="N42" s="113"/>
      <c r="O42" s="113"/>
      <c r="P42" s="113"/>
      <c r="Q42" s="113"/>
      <c r="R42" s="113"/>
      <c r="S42" s="113">
        <v>800</v>
      </c>
      <c r="T42" s="113"/>
      <c r="U42" s="113"/>
      <c r="V42" s="113">
        <f t="shared" si="1"/>
        <v>136040.37</v>
      </c>
      <c r="W42" s="104" t="s">
        <v>130</v>
      </c>
    </row>
    <row r="43" spans="1:23" ht="16.5">
      <c r="A43" s="48"/>
      <c r="B43" s="118">
        <v>20210125</v>
      </c>
      <c r="C43" s="104" t="s">
        <v>131</v>
      </c>
      <c r="D43" s="104"/>
      <c r="E43" s="104"/>
      <c r="F43" s="104"/>
      <c r="G43" s="48"/>
      <c r="H43" s="48"/>
      <c r="I43" s="113"/>
      <c r="J43" s="114"/>
      <c r="K43" s="113"/>
      <c r="L43" s="113"/>
      <c r="M43" s="113"/>
      <c r="N43" s="113"/>
      <c r="O43" s="113">
        <v>3500</v>
      </c>
      <c r="P43" s="113"/>
      <c r="Q43" s="113"/>
      <c r="R43" s="113"/>
      <c r="S43" s="113"/>
      <c r="T43" s="113"/>
      <c r="U43" s="113"/>
      <c r="V43" s="113">
        <f t="shared" si="1"/>
        <v>132540.37</v>
      </c>
      <c r="W43" s="104" t="s">
        <v>130</v>
      </c>
    </row>
    <row r="44" spans="1:23" ht="16.5">
      <c r="A44" s="48"/>
      <c r="B44" s="118">
        <v>20210125</v>
      </c>
      <c r="C44" s="104" t="s">
        <v>133</v>
      </c>
      <c r="D44" s="104" t="s">
        <v>132</v>
      </c>
      <c r="E44" s="104"/>
      <c r="F44" s="104"/>
      <c r="G44" s="48"/>
      <c r="H44" s="48"/>
      <c r="I44" s="113"/>
      <c r="J44" s="114"/>
      <c r="K44" s="113"/>
      <c r="L44" s="113"/>
      <c r="M44" s="113"/>
      <c r="N44" s="113">
        <v>5621</v>
      </c>
      <c r="O44" s="113"/>
      <c r="P44" s="113"/>
      <c r="Q44" s="113"/>
      <c r="R44" s="113"/>
      <c r="S44" s="113"/>
      <c r="T44" s="113"/>
      <c r="U44" s="113"/>
      <c r="V44" s="113">
        <f t="shared" si="1"/>
        <v>126919.37</v>
      </c>
      <c r="W44" s="104" t="s">
        <v>67</v>
      </c>
    </row>
    <row r="45" spans="1:23" ht="16.5">
      <c r="A45" s="48"/>
      <c r="B45" s="118">
        <v>20210125</v>
      </c>
      <c r="C45" s="104" t="s">
        <v>135</v>
      </c>
      <c r="D45" s="104" t="s">
        <v>134</v>
      </c>
      <c r="E45" s="104"/>
      <c r="F45" s="104"/>
      <c r="G45" s="48"/>
      <c r="H45" s="48"/>
      <c r="I45" s="113"/>
      <c r="J45" s="114"/>
      <c r="K45" s="113"/>
      <c r="L45" s="113"/>
      <c r="M45" s="113"/>
      <c r="N45" s="113"/>
      <c r="O45" s="113"/>
      <c r="P45" s="113"/>
      <c r="Q45" s="113"/>
      <c r="R45" s="113">
        <v>152</v>
      </c>
      <c r="S45" s="113"/>
      <c r="T45" s="113"/>
      <c r="U45" s="113"/>
      <c r="V45" s="113">
        <f t="shared" si="1"/>
        <v>126767.37</v>
      </c>
      <c r="W45" s="104" t="s">
        <v>67</v>
      </c>
    </row>
    <row r="46" spans="1:23" ht="16.5">
      <c r="A46" s="48"/>
      <c r="B46" s="118">
        <v>20210125</v>
      </c>
      <c r="C46" s="104" t="s">
        <v>97</v>
      </c>
      <c r="D46" s="104" t="s">
        <v>136</v>
      </c>
      <c r="E46" s="104"/>
      <c r="F46" s="104"/>
      <c r="G46" s="48"/>
      <c r="H46" s="48"/>
      <c r="I46" s="113"/>
      <c r="J46" s="114"/>
      <c r="K46" s="113"/>
      <c r="L46" s="113"/>
      <c r="M46" s="113"/>
      <c r="N46" s="113"/>
      <c r="O46" s="113"/>
      <c r="P46" s="113"/>
      <c r="Q46" s="113">
        <v>500</v>
      </c>
      <c r="R46" s="113"/>
      <c r="S46" s="113"/>
      <c r="T46" s="113"/>
      <c r="U46" s="113"/>
      <c r="V46" s="113">
        <f t="shared" si="1"/>
        <v>126267.37</v>
      </c>
      <c r="W46" s="104" t="s">
        <v>67</v>
      </c>
    </row>
    <row r="47" spans="1:23" ht="16.5">
      <c r="A47" s="48"/>
      <c r="B47" s="118">
        <v>20210125</v>
      </c>
      <c r="C47" s="104" t="s">
        <v>138</v>
      </c>
      <c r="D47" s="104" t="s">
        <v>137</v>
      </c>
      <c r="E47" s="104"/>
      <c r="F47" s="104"/>
      <c r="G47" s="48"/>
      <c r="H47" s="48"/>
      <c r="I47" s="113"/>
      <c r="J47" s="114"/>
      <c r="K47" s="113"/>
      <c r="L47" s="113"/>
      <c r="M47" s="113"/>
      <c r="N47" s="113"/>
      <c r="O47" s="113"/>
      <c r="P47" s="113"/>
      <c r="Q47" s="113">
        <f>12497.96+13594.07</f>
        <v>26092.03</v>
      </c>
      <c r="R47" s="113"/>
      <c r="S47" s="113"/>
      <c r="T47" s="113"/>
      <c r="U47" s="113"/>
      <c r="V47" s="113">
        <f t="shared" si="1"/>
        <v>100175.34</v>
      </c>
      <c r="W47" s="104" t="s">
        <v>76</v>
      </c>
    </row>
    <row r="48" spans="1:23" ht="16.5">
      <c r="A48" s="48"/>
      <c r="B48" s="118">
        <v>20210126</v>
      </c>
      <c r="C48" s="104" t="s">
        <v>139</v>
      </c>
      <c r="D48" s="104"/>
      <c r="E48" s="104"/>
      <c r="F48" s="104"/>
      <c r="G48" s="48"/>
      <c r="H48" s="48"/>
      <c r="I48" s="113"/>
      <c r="J48" s="114"/>
      <c r="K48" s="113"/>
      <c r="L48" s="113">
        <v>50000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>
        <f t="shared" si="1"/>
        <v>150175.34</v>
      </c>
      <c r="W48" s="104" t="s">
        <v>140</v>
      </c>
    </row>
    <row r="49" spans="1:23" ht="33">
      <c r="A49" s="48"/>
      <c r="B49" s="118">
        <v>20210127</v>
      </c>
      <c r="C49" s="104" t="s">
        <v>141</v>
      </c>
      <c r="D49" s="104"/>
      <c r="E49" s="104"/>
      <c r="F49" s="104"/>
      <c r="G49" s="48"/>
      <c r="H49" s="48"/>
      <c r="I49" s="113"/>
      <c r="J49" s="114"/>
      <c r="K49" s="113"/>
      <c r="L49" s="113"/>
      <c r="M49" s="113">
        <v>38488</v>
      </c>
      <c r="N49" s="113"/>
      <c r="O49" s="113"/>
      <c r="P49" s="113"/>
      <c r="Q49" s="113"/>
      <c r="R49" s="113"/>
      <c r="S49" s="113"/>
      <c r="T49" s="113"/>
      <c r="U49" s="113"/>
      <c r="V49" s="113">
        <f t="shared" si="1"/>
        <v>111687.34</v>
      </c>
      <c r="W49" s="104" t="s">
        <v>142</v>
      </c>
    </row>
    <row r="50" spans="1:23" ht="16.5">
      <c r="A50" s="48"/>
      <c r="B50" s="118"/>
      <c r="C50" s="104"/>
      <c r="D50" s="104"/>
      <c r="E50" s="104"/>
      <c r="F50" s="104"/>
      <c r="G50" s="48"/>
      <c r="H50" s="48"/>
      <c r="I50" s="113"/>
      <c r="J50" s="114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04"/>
    </row>
    <row r="51" spans="1:23" ht="16.5">
      <c r="A51" s="48"/>
      <c r="B51" s="118"/>
      <c r="C51" s="104"/>
      <c r="D51" s="104"/>
      <c r="E51" s="104"/>
      <c r="F51" s="104"/>
      <c r="G51" s="48"/>
      <c r="H51" s="48"/>
      <c r="I51" s="113"/>
      <c r="J51" s="114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04"/>
    </row>
    <row r="52" spans="1:23" ht="16.5">
      <c r="A52" s="48"/>
      <c r="B52" s="118"/>
      <c r="C52" s="104"/>
      <c r="D52" s="104"/>
      <c r="E52" s="104"/>
      <c r="F52" s="104"/>
      <c r="G52" s="48"/>
      <c r="H52" s="48"/>
      <c r="I52" s="113"/>
      <c r="J52" s="114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04"/>
    </row>
    <row r="53" spans="1:23" ht="16.5">
      <c r="A53" s="48"/>
      <c r="B53" s="118"/>
      <c r="C53" s="104"/>
      <c r="D53" s="104"/>
      <c r="E53" s="104"/>
      <c r="F53" s="104"/>
      <c r="G53" s="48"/>
      <c r="H53" s="48"/>
      <c r="I53" s="113"/>
      <c r="J53" s="114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04"/>
    </row>
    <row r="54" spans="1:23" ht="16.5">
      <c r="A54" s="48"/>
      <c r="B54" s="118"/>
      <c r="C54" s="104"/>
      <c r="D54" s="104"/>
      <c r="E54" s="104"/>
      <c r="F54" s="104"/>
      <c r="G54" s="48"/>
      <c r="H54" s="48"/>
      <c r="I54" s="113"/>
      <c r="J54" s="114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04"/>
    </row>
    <row r="55" spans="1:23" ht="16.5">
      <c r="A55" s="48"/>
      <c r="B55" s="118"/>
      <c r="C55" s="104"/>
      <c r="D55" s="104"/>
      <c r="E55" s="104"/>
      <c r="F55" s="104"/>
      <c r="G55" s="48"/>
      <c r="H55" s="48"/>
      <c r="I55" s="113"/>
      <c r="J55" s="114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04"/>
    </row>
    <row r="56" spans="1:23" ht="16.5">
      <c r="A56" s="48"/>
      <c r="B56" s="118"/>
      <c r="C56" s="104"/>
      <c r="D56" s="104"/>
      <c r="E56" s="104"/>
      <c r="F56" s="104"/>
      <c r="G56" s="48"/>
      <c r="H56" s="48"/>
      <c r="I56" s="113"/>
      <c r="J56" s="114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04"/>
    </row>
    <row r="57" spans="1:23" ht="16.5">
      <c r="A57" s="48"/>
      <c r="B57" s="118"/>
      <c r="C57" s="104"/>
      <c r="D57" s="104"/>
      <c r="E57" s="104"/>
      <c r="F57" s="104"/>
      <c r="G57" s="48"/>
      <c r="H57" s="48"/>
      <c r="I57" s="113"/>
      <c r="J57" s="114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04"/>
    </row>
    <row r="58" spans="1:23" ht="16.5">
      <c r="A58" s="48"/>
      <c r="B58" s="118"/>
      <c r="C58" s="104"/>
      <c r="D58" s="104"/>
      <c r="E58" s="104"/>
      <c r="F58" s="104"/>
      <c r="G58" s="48"/>
      <c r="H58" s="48"/>
      <c r="I58" s="113"/>
      <c r="J58" s="114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04"/>
    </row>
    <row r="59" spans="1:23" ht="16.5">
      <c r="A59" s="48"/>
      <c r="B59" s="118"/>
      <c r="C59" s="104"/>
      <c r="D59" s="104"/>
      <c r="E59" s="104"/>
      <c r="F59" s="104"/>
      <c r="G59" s="48"/>
      <c r="H59" s="48"/>
      <c r="I59" s="113"/>
      <c r="J59" s="114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04"/>
    </row>
    <row r="60" spans="1:23" ht="16.5">
      <c r="A60" s="48"/>
      <c r="B60" s="118"/>
      <c r="C60" s="104"/>
      <c r="D60" s="104"/>
      <c r="E60" s="104"/>
      <c r="F60" s="104"/>
      <c r="G60" s="48"/>
      <c r="H60" s="48"/>
      <c r="I60" s="113"/>
      <c r="J60" s="114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04"/>
    </row>
    <row r="61" spans="1:23" ht="16.5">
      <c r="A61" s="48"/>
      <c r="B61" s="118"/>
      <c r="C61" s="104"/>
      <c r="D61" s="104"/>
      <c r="E61" s="104"/>
      <c r="F61" s="104"/>
      <c r="G61" s="48"/>
      <c r="H61" s="48"/>
      <c r="I61" s="113"/>
      <c r="J61" s="114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04"/>
    </row>
    <row r="62" spans="1:23" ht="16.5">
      <c r="A62" s="48"/>
      <c r="B62" s="118"/>
      <c r="C62" s="104"/>
      <c r="D62" s="104"/>
      <c r="E62" s="104"/>
      <c r="F62" s="104"/>
      <c r="G62" s="48"/>
      <c r="H62" s="48"/>
      <c r="I62" s="113"/>
      <c r="J62" s="114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04"/>
    </row>
    <row r="63" spans="1:23" ht="16.5">
      <c r="A63" s="48"/>
      <c r="B63" s="118"/>
      <c r="C63" s="104"/>
      <c r="D63" s="104"/>
      <c r="E63" s="104"/>
      <c r="F63" s="104"/>
      <c r="G63" s="48"/>
      <c r="H63" s="48"/>
      <c r="I63" s="113"/>
      <c r="J63" s="114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04"/>
    </row>
    <row r="64" spans="1:23" ht="16.5">
      <c r="A64" s="48"/>
      <c r="B64" s="118"/>
      <c r="C64" s="104"/>
      <c r="D64" s="104"/>
      <c r="E64" s="104"/>
      <c r="F64" s="104"/>
      <c r="G64" s="48"/>
      <c r="H64" s="48"/>
      <c r="I64" s="113"/>
      <c r="J64" s="114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04"/>
    </row>
    <row r="65" spans="1:23" ht="16.5">
      <c r="A65" s="48"/>
      <c r="B65" s="118"/>
      <c r="C65" s="104"/>
      <c r="D65" s="104"/>
      <c r="E65" s="104"/>
      <c r="F65" s="104"/>
      <c r="G65" s="48"/>
      <c r="H65" s="48"/>
      <c r="I65" s="113"/>
      <c r="J65" s="114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04"/>
    </row>
    <row r="66" spans="1:23" ht="16.5">
      <c r="A66" s="48"/>
      <c r="B66" s="118"/>
      <c r="C66" s="104"/>
      <c r="D66" s="104"/>
      <c r="E66" s="104"/>
      <c r="F66" s="104"/>
      <c r="G66" s="48"/>
      <c r="H66" s="48"/>
      <c r="I66" s="113"/>
      <c r="J66" s="114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04"/>
    </row>
    <row r="67" spans="1:23" ht="16.5">
      <c r="A67" s="48"/>
      <c r="B67" s="118"/>
      <c r="C67" s="104"/>
      <c r="D67" s="104"/>
      <c r="E67" s="104"/>
      <c r="F67" s="104"/>
      <c r="G67" s="48"/>
      <c r="H67" s="48"/>
      <c r="I67" s="113"/>
      <c r="J67" s="114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04"/>
    </row>
    <row r="68" spans="1:23" ht="16.5">
      <c r="A68" s="48"/>
      <c r="B68" s="118"/>
      <c r="C68" s="104"/>
      <c r="D68" s="104"/>
      <c r="E68" s="104"/>
      <c r="F68" s="104"/>
      <c r="G68" s="48"/>
      <c r="H68" s="48"/>
      <c r="I68" s="113"/>
      <c r="J68" s="114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04"/>
    </row>
    <row r="69" spans="1:23" ht="16.5">
      <c r="A69" s="48"/>
      <c r="B69" s="118"/>
      <c r="C69" s="104"/>
      <c r="D69" s="104"/>
      <c r="E69" s="104"/>
      <c r="F69" s="104"/>
      <c r="G69" s="48"/>
      <c r="H69" s="48"/>
      <c r="I69" s="113"/>
      <c r="J69" s="114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04"/>
    </row>
    <row r="70" spans="1:23" ht="16.5">
      <c r="A70" s="48"/>
      <c r="B70" s="118"/>
      <c r="C70" s="104"/>
      <c r="D70" s="104"/>
      <c r="E70" s="104"/>
      <c r="F70" s="104"/>
      <c r="G70" s="48"/>
      <c r="H70" s="48"/>
      <c r="I70" s="113"/>
      <c r="J70" s="114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04"/>
    </row>
    <row r="71" spans="1:23" ht="16.5">
      <c r="A71" s="48"/>
      <c r="B71" s="118"/>
      <c r="C71" s="104"/>
      <c r="D71" s="104"/>
      <c r="E71" s="104"/>
      <c r="F71" s="104"/>
      <c r="G71" s="48"/>
      <c r="H71" s="48"/>
      <c r="I71" s="113"/>
      <c r="J71" s="114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04"/>
    </row>
    <row r="72" spans="1:23" ht="16.5">
      <c r="A72" s="48"/>
      <c r="B72" s="118"/>
      <c r="C72" s="104"/>
      <c r="D72" s="104"/>
      <c r="E72" s="104"/>
      <c r="F72" s="104"/>
      <c r="G72" s="48"/>
      <c r="H72" s="48"/>
      <c r="I72" s="113"/>
      <c r="J72" s="114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04"/>
    </row>
    <row r="73" spans="1:23" ht="16.5">
      <c r="A73" s="48"/>
      <c r="B73" s="118"/>
      <c r="C73" s="104"/>
      <c r="D73" s="104"/>
      <c r="E73" s="104"/>
      <c r="F73" s="104"/>
      <c r="G73" s="48"/>
      <c r="H73" s="48"/>
      <c r="I73" s="113"/>
      <c r="J73" s="114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04"/>
    </row>
    <row r="74" spans="1:23" ht="16.5">
      <c r="A74" s="48"/>
      <c r="B74" s="118"/>
      <c r="C74" s="104"/>
      <c r="D74" s="104"/>
      <c r="E74" s="104"/>
      <c r="F74" s="104"/>
      <c r="G74" s="48"/>
      <c r="H74" s="48"/>
      <c r="I74" s="113"/>
      <c r="J74" s="114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04"/>
    </row>
    <row r="75" spans="1:23" ht="16.5">
      <c r="A75" s="48"/>
      <c r="B75" s="118"/>
      <c r="C75" s="104"/>
      <c r="D75" s="104"/>
      <c r="E75" s="104"/>
      <c r="F75" s="104"/>
      <c r="G75" s="48"/>
      <c r="H75" s="48"/>
      <c r="I75" s="113"/>
      <c r="J75" s="114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04"/>
    </row>
    <row r="76" spans="1:23" ht="16.5">
      <c r="A76" s="48"/>
      <c r="B76" s="118"/>
      <c r="C76" s="104"/>
      <c r="D76" s="104"/>
      <c r="E76" s="104"/>
      <c r="F76" s="104"/>
      <c r="G76" s="48"/>
      <c r="H76" s="48"/>
      <c r="I76" s="113"/>
      <c r="J76" s="114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04"/>
    </row>
    <row r="77" spans="1:23" ht="16.5">
      <c r="A77" s="48"/>
      <c r="B77" s="118"/>
      <c r="C77" s="104"/>
      <c r="D77" s="104"/>
      <c r="E77" s="104"/>
      <c r="F77" s="104"/>
      <c r="G77" s="48"/>
      <c r="H77" s="48"/>
      <c r="I77" s="113"/>
      <c r="J77" s="114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04"/>
    </row>
    <row r="78" spans="1:23" ht="16.5">
      <c r="A78" s="48"/>
      <c r="B78" s="118"/>
      <c r="C78" s="104"/>
      <c r="D78" s="104"/>
      <c r="E78" s="104"/>
      <c r="F78" s="104"/>
      <c r="G78" s="48"/>
      <c r="H78" s="48"/>
      <c r="I78" s="113"/>
      <c r="J78" s="114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04"/>
    </row>
    <row r="79" spans="1:23" ht="16.5">
      <c r="A79" s="48"/>
      <c r="B79" s="118"/>
      <c r="C79" s="104"/>
      <c r="D79" s="104"/>
      <c r="E79" s="104"/>
      <c r="F79" s="104"/>
      <c r="G79" s="48"/>
      <c r="H79" s="48"/>
      <c r="I79" s="113"/>
      <c r="J79" s="114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04"/>
    </row>
    <row r="80" spans="1:23" ht="16.5">
      <c r="A80" s="48"/>
      <c r="B80" s="118"/>
      <c r="C80" s="104"/>
      <c r="D80" s="104"/>
      <c r="E80" s="104"/>
      <c r="F80" s="104"/>
      <c r="G80" s="48"/>
      <c r="H80" s="48"/>
      <c r="I80" s="113"/>
      <c r="J80" s="114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04"/>
    </row>
    <row r="81" spans="1:23" ht="16.5">
      <c r="A81" s="48"/>
      <c r="B81" s="118"/>
      <c r="C81" s="104"/>
      <c r="D81" s="104"/>
      <c r="E81" s="104"/>
      <c r="F81" s="104"/>
      <c r="G81" s="48"/>
      <c r="H81" s="48"/>
      <c r="I81" s="113"/>
      <c r="J81" s="114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04"/>
    </row>
    <row r="82" spans="1:23" ht="16.5">
      <c r="A82" s="48"/>
      <c r="B82" s="118"/>
      <c r="C82" s="104"/>
      <c r="D82" s="104"/>
      <c r="E82" s="104"/>
      <c r="F82" s="104"/>
      <c r="G82" s="48"/>
      <c r="H82" s="48"/>
      <c r="I82" s="113"/>
      <c r="J82" s="114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04"/>
    </row>
    <row r="83" spans="1:23" ht="16.5">
      <c r="A83" s="48"/>
      <c r="B83" s="118"/>
      <c r="C83" s="104"/>
      <c r="D83" s="104"/>
      <c r="E83" s="104"/>
      <c r="F83" s="104"/>
      <c r="G83" s="48"/>
      <c r="H83" s="48"/>
      <c r="I83" s="113"/>
      <c r="J83" s="114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04"/>
    </row>
    <row r="84" spans="1:23" ht="16.5">
      <c r="A84" s="48"/>
      <c r="B84" s="118"/>
      <c r="C84" s="104"/>
      <c r="D84" s="104"/>
      <c r="E84" s="104"/>
      <c r="F84" s="104"/>
      <c r="G84" s="48"/>
      <c r="H84" s="48"/>
      <c r="I84" s="113"/>
      <c r="J84" s="114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04"/>
    </row>
    <row r="85" spans="1:23" ht="16.5">
      <c r="A85" s="48"/>
      <c r="B85" s="118"/>
      <c r="C85" s="104"/>
      <c r="D85" s="104"/>
      <c r="E85" s="104"/>
      <c r="F85" s="104"/>
      <c r="G85" s="48"/>
      <c r="H85" s="48"/>
      <c r="I85" s="113"/>
      <c r="J85" s="114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04"/>
    </row>
    <row r="86" spans="1:23" ht="16.5">
      <c r="A86" s="48"/>
      <c r="B86" s="118"/>
      <c r="C86" s="104"/>
      <c r="D86" s="104"/>
      <c r="E86" s="104"/>
      <c r="F86" s="104"/>
      <c r="G86" s="48"/>
      <c r="H86" s="48"/>
      <c r="I86" s="113"/>
      <c r="J86" s="114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04"/>
    </row>
    <row r="87" spans="1:23" ht="16.5">
      <c r="A87" s="48"/>
      <c r="B87" s="118"/>
      <c r="C87" s="104"/>
      <c r="D87" s="104"/>
      <c r="E87" s="104"/>
      <c r="F87" s="104"/>
      <c r="G87" s="48"/>
      <c r="H87" s="48"/>
      <c r="I87" s="113"/>
      <c r="J87" s="114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04"/>
    </row>
    <row r="88" spans="1:23" ht="16.5">
      <c r="A88" s="48"/>
      <c r="B88" s="118"/>
      <c r="C88" s="104"/>
      <c r="D88" s="104"/>
      <c r="E88" s="104"/>
      <c r="F88" s="104"/>
      <c r="G88" s="48"/>
      <c r="H88" s="48"/>
      <c r="I88" s="113"/>
      <c r="J88" s="114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04"/>
    </row>
    <row r="89" spans="1:23" ht="16.5">
      <c r="A89" s="48"/>
      <c r="B89" s="118"/>
      <c r="C89" s="104"/>
      <c r="D89" s="104"/>
      <c r="E89" s="104"/>
      <c r="F89" s="104"/>
      <c r="G89" s="48"/>
      <c r="H89" s="48"/>
      <c r="I89" s="113"/>
      <c r="J89" s="114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04"/>
    </row>
    <row r="90" spans="1:23" ht="16.5">
      <c r="A90" s="48"/>
      <c r="B90" s="118"/>
      <c r="C90" s="104"/>
      <c r="D90" s="104"/>
      <c r="E90" s="104"/>
      <c r="F90" s="104"/>
      <c r="G90" s="48"/>
      <c r="H90" s="48"/>
      <c r="I90" s="113"/>
      <c r="J90" s="114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04"/>
    </row>
    <row r="91" spans="1:23" ht="16.5">
      <c r="A91" s="48"/>
      <c r="B91" s="118"/>
      <c r="C91" s="104"/>
      <c r="D91" s="104"/>
      <c r="E91" s="104"/>
      <c r="F91" s="104"/>
      <c r="G91" s="48"/>
      <c r="H91" s="48"/>
      <c r="I91" s="113"/>
      <c r="J91" s="114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04"/>
    </row>
    <row r="92" spans="1:23" ht="16.5">
      <c r="A92" s="48"/>
      <c r="B92" s="118"/>
      <c r="C92" s="104"/>
      <c r="D92" s="104"/>
      <c r="E92" s="104"/>
      <c r="F92" s="104"/>
      <c r="G92" s="48"/>
      <c r="H92" s="48"/>
      <c r="I92" s="113"/>
      <c r="J92" s="114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04"/>
    </row>
    <row r="93" spans="1:23" ht="16.5">
      <c r="A93" s="48"/>
      <c r="B93" s="118"/>
      <c r="C93" s="104"/>
      <c r="D93" s="104"/>
      <c r="E93" s="104"/>
      <c r="F93" s="104"/>
      <c r="G93" s="48"/>
      <c r="H93" s="48"/>
      <c r="I93" s="113"/>
      <c r="J93" s="114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04"/>
    </row>
    <row r="94" spans="1:23" ht="16.5">
      <c r="A94" s="48"/>
      <c r="B94" s="118"/>
      <c r="C94" s="104"/>
      <c r="D94" s="104"/>
      <c r="E94" s="104"/>
      <c r="F94" s="104"/>
      <c r="G94" s="48"/>
      <c r="H94" s="48"/>
      <c r="I94" s="113"/>
      <c r="J94" s="114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04"/>
    </row>
    <row r="95" spans="1:23" ht="16.5">
      <c r="A95" s="48"/>
      <c r="B95" s="118"/>
      <c r="C95" s="104"/>
      <c r="D95" s="104"/>
      <c r="E95" s="104"/>
      <c r="F95" s="104"/>
      <c r="G95" s="48"/>
      <c r="H95" s="48"/>
      <c r="I95" s="113"/>
      <c r="J95" s="114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04"/>
    </row>
    <row r="96" spans="1:23" ht="16.5">
      <c r="A96" s="48"/>
      <c r="B96" s="118"/>
      <c r="C96" s="104"/>
      <c r="D96" s="104"/>
      <c r="E96" s="104"/>
      <c r="F96" s="104"/>
      <c r="G96" s="48"/>
      <c r="H96" s="48"/>
      <c r="I96" s="113"/>
      <c r="J96" s="114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04"/>
    </row>
    <row r="97" spans="1:23" ht="16.5">
      <c r="A97" s="48"/>
      <c r="B97" s="118"/>
      <c r="C97" s="104"/>
      <c r="D97" s="104"/>
      <c r="E97" s="104"/>
      <c r="F97" s="104"/>
      <c r="G97" s="48"/>
      <c r="H97" s="48"/>
      <c r="I97" s="113"/>
      <c r="J97" s="114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04"/>
    </row>
    <row r="98" spans="1:23" ht="16.5">
      <c r="A98" s="48"/>
      <c r="B98" s="118"/>
      <c r="C98" s="104"/>
      <c r="D98" s="104"/>
      <c r="E98" s="104"/>
      <c r="F98" s="104"/>
      <c r="G98" s="48"/>
      <c r="H98" s="48"/>
      <c r="I98" s="113"/>
      <c r="J98" s="114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04"/>
    </row>
    <row r="99" spans="1:23" ht="16.5">
      <c r="A99" s="48"/>
      <c r="B99" s="118"/>
      <c r="C99" s="104"/>
      <c r="D99" s="104"/>
      <c r="E99" s="104"/>
      <c r="F99" s="104"/>
      <c r="G99" s="48"/>
      <c r="H99" s="48"/>
      <c r="I99" s="113"/>
      <c r="J99" s="114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04"/>
    </row>
    <row r="100" spans="1:23" ht="16.5">
      <c r="A100" s="48"/>
      <c r="B100" s="118"/>
      <c r="C100" s="104"/>
      <c r="D100" s="104"/>
      <c r="E100" s="104"/>
      <c r="F100" s="104"/>
      <c r="G100" s="48"/>
      <c r="H100" s="48"/>
      <c r="I100" s="113"/>
      <c r="J100" s="114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04"/>
    </row>
    <row r="101" spans="1:23" ht="16.5">
      <c r="A101" s="48"/>
      <c r="B101" s="118"/>
      <c r="C101" s="104"/>
      <c r="D101" s="104"/>
      <c r="E101" s="104"/>
      <c r="F101" s="104"/>
      <c r="G101" s="48"/>
      <c r="H101" s="48"/>
      <c r="I101" s="113"/>
      <c r="J101" s="114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04"/>
    </row>
    <row r="102" spans="1:23" ht="16.5">
      <c r="A102" s="48"/>
      <c r="B102" s="118"/>
      <c r="C102" s="104"/>
      <c r="D102" s="104"/>
      <c r="E102" s="104"/>
      <c r="F102" s="104"/>
      <c r="G102" s="48"/>
      <c r="H102" s="48"/>
      <c r="I102" s="113"/>
      <c r="J102" s="114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04"/>
    </row>
    <row r="103" spans="1:23" ht="16.5">
      <c r="A103" s="48"/>
      <c r="B103" s="118"/>
      <c r="C103" s="104"/>
      <c r="D103" s="104"/>
      <c r="E103" s="104"/>
      <c r="F103" s="104"/>
      <c r="G103" s="48"/>
      <c r="H103" s="48"/>
      <c r="I103" s="113"/>
      <c r="J103" s="114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04"/>
    </row>
    <row r="104" spans="1:23" ht="16.5">
      <c r="A104" s="48"/>
      <c r="B104" s="118"/>
      <c r="C104" s="104"/>
      <c r="D104" s="104"/>
      <c r="E104" s="104"/>
      <c r="F104" s="104"/>
      <c r="G104" s="48"/>
      <c r="H104" s="48"/>
      <c r="I104" s="113"/>
      <c r="J104" s="114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04"/>
    </row>
    <row r="105" spans="1:23" ht="16.5">
      <c r="A105" s="48"/>
      <c r="B105" s="118"/>
      <c r="C105" s="104"/>
      <c r="D105" s="104"/>
      <c r="E105" s="104"/>
      <c r="F105" s="104"/>
      <c r="G105" s="48"/>
      <c r="H105" s="48"/>
      <c r="I105" s="113"/>
      <c r="J105" s="114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04"/>
    </row>
    <row r="106" spans="1:23" ht="16.5">
      <c r="A106" s="48"/>
      <c r="B106" s="118"/>
      <c r="C106" s="104"/>
      <c r="D106" s="104"/>
      <c r="E106" s="104"/>
      <c r="F106" s="104"/>
      <c r="G106" s="48"/>
      <c r="H106" s="48"/>
      <c r="I106" s="113"/>
      <c r="J106" s="114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04"/>
    </row>
    <row r="107" spans="1:23" ht="16.5">
      <c r="A107" s="48"/>
      <c r="B107" s="118"/>
      <c r="C107" s="104"/>
      <c r="D107" s="104"/>
      <c r="E107" s="104"/>
      <c r="F107" s="104"/>
      <c r="G107" s="48"/>
      <c r="H107" s="48"/>
      <c r="I107" s="113"/>
      <c r="J107" s="114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04"/>
    </row>
    <row r="108" spans="1:23" ht="16.5">
      <c r="A108" s="48"/>
      <c r="B108" s="118"/>
      <c r="C108" s="104"/>
      <c r="D108" s="104"/>
      <c r="E108" s="104"/>
      <c r="F108" s="104"/>
      <c r="G108" s="48"/>
      <c r="H108" s="48"/>
      <c r="I108" s="113"/>
      <c r="J108" s="114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04"/>
    </row>
    <row r="109" spans="1:23" ht="16.5">
      <c r="A109" s="48"/>
      <c r="B109" s="118"/>
      <c r="C109" s="104"/>
      <c r="D109" s="104"/>
      <c r="E109" s="104"/>
      <c r="F109" s="104"/>
      <c r="G109" s="48"/>
      <c r="H109" s="48"/>
      <c r="I109" s="113"/>
      <c r="J109" s="114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04"/>
    </row>
    <row r="110" spans="1:23" ht="16.5">
      <c r="A110" s="48"/>
      <c r="B110" s="118"/>
      <c r="C110" s="104"/>
      <c r="D110" s="104"/>
      <c r="E110" s="104"/>
      <c r="F110" s="104"/>
      <c r="G110" s="48"/>
      <c r="H110" s="48"/>
      <c r="I110" s="113"/>
      <c r="J110" s="114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04"/>
    </row>
    <row r="111" spans="1:23" ht="16.5">
      <c r="A111" s="48"/>
      <c r="B111" s="118"/>
      <c r="C111" s="104"/>
      <c r="D111" s="104"/>
      <c r="E111" s="104"/>
      <c r="F111" s="104"/>
      <c r="G111" s="48"/>
      <c r="H111" s="48"/>
      <c r="I111" s="113"/>
      <c r="J111" s="114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04"/>
    </row>
    <row r="112" spans="1:23" ht="16.5">
      <c r="A112" s="48"/>
      <c r="B112" s="118"/>
      <c r="C112" s="104"/>
      <c r="D112" s="104"/>
      <c r="E112" s="104"/>
      <c r="F112" s="104"/>
      <c r="G112" s="48"/>
      <c r="H112" s="48"/>
      <c r="I112" s="113"/>
      <c r="J112" s="114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04"/>
    </row>
    <row r="113" spans="1:23" ht="16.5">
      <c r="A113" s="48"/>
      <c r="B113" s="118"/>
      <c r="C113" s="104"/>
      <c r="D113" s="104"/>
      <c r="E113" s="104"/>
      <c r="F113" s="104"/>
      <c r="G113" s="48"/>
      <c r="H113" s="48"/>
      <c r="I113" s="113"/>
      <c r="J113" s="114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04"/>
    </row>
    <row r="114" spans="1:23" ht="16.5">
      <c r="A114" s="48"/>
      <c r="B114" s="118"/>
      <c r="C114" s="104"/>
      <c r="D114" s="104"/>
      <c r="E114" s="104"/>
      <c r="F114" s="104"/>
      <c r="G114" s="48"/>
      <c r="H114" s="48"/>
      <c r="I114" s="113"/>
      <c r="J114" s="114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04"/>
    </row>
    <row r="115" spans="1:23" ht="16.5">
      <c r="A115" s="48"/>
      <c r="B115" s="118"/>
      <c r="C115" s="104"/>
      <c r="D115" s="104"/>
      <c r="E115" s="104"/>
      <c r="F115" s="104"/>
      <c r="G115" s="48"/>
      <c r="H115" s="48"/>
      <c r="I115" s="113"/>
      <c r="J115" s="114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04"/>
    </row>
    <row r="116" spans="1:23" ht="16.5">
      <c r="A116" s="48"/>
      <c r="B116" s="118"/>
      <c r="C116" s="104"/>
      <c r="D116" s="104"/>
      <c r="E116" s="104"/>
      <c r="F116" s="104"/>
      <c r="G116" s="48"/>
      <c r="H116" s="48"/>
      <c r="I116" s="113"/>
      <c r="J116" s="114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04"/>
    </row>
    <row r="117" spans="1:23" ht="16.5">
      <c r="A117" s="48"/>
      <c r="B117" s="118"/>
      <c r="C117" s="104"/>
      <c r="D117" s="104"/>
      <c r="E117" s="104"/>
      <c r="F117" s="104"/>
      <c r="G117" s="48"/>
      <c r="H117" s="48"/>
      <c r="I117" s="113"/>
      <c r="J117" s="114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04"/>
    </row>
    <row r="118" spans="1:23" ht="16.5">
      <c r="A118" s="48"/>
      <c r="B118" s="118"/>
      <c r="C118" s="104"/>
      <c r="D118" s="104"/>
      <c r="E118" s="104"/>
      <c r="F118" s="104"/>
      <c r="G118" s="48"/>
      <c r="H118" s="48"/>
      <c r="I118" s="113"/>
      <c r="J118" s="114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04"/>
    </row>
    <row r="119" spans="1:23" ht="16.5">
      <c r="A119" s="48"/>
      <c r="B119" s="118"/>
      <c r="C119" s="104"/>
      <c r="D119" s="104"/>
      <c r="E119" s="104"/>
      <c r="F119" s="104"/>
      <c r="G119" s="48"/>
      <c r="H119" s="48"/>
      <c r="I119" s="113"/>
      <c r="J119" s="114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04"/>
    </row>
    <row r="120" spans="1:23" ht="16.5">
      <c r="A120" s="48"/>
      <c r="B120" s="118"/>
      <c r="C120" s="104"/>
      <c r="D120" s="104"/>
      <c r="E120" s="104"/>
      <c r="F120" s="104"/>
      <c r="G120" s="48"/>
      <c r="H120" s="48"/>
      <c r="I120" s="113"/>
      <c r="J120" s="114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04"/>
    </row>
    <row r="121" spans="1:23" ht="16.5">
      <c r="A121" s="48"/>
      <c r="B121" s="118"/>
      <c r="C121" s="104"/>
      <c r="D121" s="104"/>
      <c r="E121" s="104"/>
      <c r="F121" s="104"/>
      <c r="G121" s="48"/>
      <c r="H121" s="48"/>
      <c r="I121" s="113"/>
      <c r="J121" s="114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04"/>
    </row>
    <row r="122" spans="1:23" ht="16.5">
      <c r="A122" s="48"/>
      <c r="B122" s="118"/>
      <c r="C122" s="104"/>
      <c r="D122" s="104"/>
      <c r="E122" s="104"/>
      <c r="F122" s="104"/>
      <c r="G122" s="48"/>
      <c r="H122" s="48"/>
      <c r="I122" s="113"/>
      <c r="J122" s="114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04"/>
    </row>
    <row r="123" spans="1:23" ht="16.5">
      <c r="A123" s="48"/>
      <c r="B123" s="118"/>
      <c r="C123" s="104"/>
      <c r="D123" s="104"/>
      <c r="E123" s="104"/>
      <c r="F123" s="104"/>
      <c r="G123" s="48"/>
      <c r="H123" s="48"/>
      <c r="I123" s="113"/>
      <c r="J123" s="114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04"/>
    </row>
    <row r="124" spans="1:23" ht="16.5">
      <c r="A124" s="48"/>
      <c r="B124" s="118"/>
      <c r="C124" s="104"/>
      <c r="D124" s="104"/>
      <c r="E124" s="104"/>
      <c r="F124" s="104"/>
      <c r="G124" s="48"/>
      <c r="H124" s="48"/>
      <c r="I124" s="113"/>
      <c r="J124" s="114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04"/>
    </row>
    <row r="125" spans="1:23" ht="16.5">
      <c r="A125" s="48"/>
      <c r="B125" s="118"/>
      <c r="C125" s="104"/>
      <c r="D125" s="104"/>
      <c r="E125" s="104"/>
      <c r="F125" s="104"/>
      <c r="G125" s="48"/>
      <c r="H125" s="48"/>
      <c r="I125" s="113"/>
      <c r="J125" s="114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04"/>
    </row>
    <row r="126" spans="1:23" ht="16.5">
      <c r="A126" s="48"/>
      <c r="B126" s="118"/>
      <c r="C126" s="104"/>
      <c r="D126" s="104"/>
      <c r="E126" s="104"/>
      <c r="F126" s="104"/>
      <c r="G126" s="48"/>
      <c r="H126" s="48"/>
      <c r="I126" s="113"/>
      <c r="J126" s="114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04"/>
    </row>
    <row r="127" spans="1:23" ht="16.5">
      <c r="A127" s="48"/>
      <c r="B127" s="118"/>
      <c r="C127" s="104"/>
      <c r="D127" s="104"/>
      <c r="E127" s="104"/>
      <c r="F127" s="104"/>
      <c r="G127" s="48"/>
      <c r="H127" s="48"/>
      <c r="I127" s="113"/>
      <c r="J127" s="114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04"/>
    </row>
    <row r="128" spans="1:23" ht="16.5">
      <c r="A128" s="48"/>
      <c r="B128" s="118"/>
      <c r="C128" s="104"/>
      <c r="D128" s="104"/>
      <c r="E128" s="104"/>
      <c r="F128" s="104"/>
      <c r="G128" s="48"/>
      <c r="H128" s="48"/>
      <c r="I128" s="113"/>
      <c r="J128" s="114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04"/>
    </row>
    <row r="129" spans="1:23" ht="16.5">
      <c r="A129" s="48"/>
      <c r="B129" s="118"/>
      <c r="C129" s="104"/>
      <c r="D129" s="104"/>
      <c r="E129" s="104"/>
      <c r="F129" s="104"/>
      <c r="G129" s="48"/>
      <c r="H129" s="48"/>
      <c r="I129" s="113"/>
      <c r="J129" s="114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04"/>
    </row>
    <row r="130" spans="1:23" ht="16.5">
      <c r="A130" s="48"/>
      <c r="B130" s="118"/>
      <c r="C130" s="104"/>
      <c r="D130" s="104"/>
      <c r="E130" s="104"/>
      <c r="F130" s="104"/>
      <c r="G130" s="48"/>
      <c r="H130" s="48"/>
      <c r="I130" s="113"/>
      <c r="J130" s="114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04"/>
    </row>
    <row r="131" spans="1:23" ht="16.5">
      <c r="A131" s="48"/>
      <c r="B131" s="118"/>
      <c r="C131" s="104"/>
      <c r="D131" s="104"/>
      <c r="E131" s="104"/>
      <c r="F131" s="104"/>
      <c r="G131" s="48"/>
      <c r="H131" s="48"/>
      <c r="I131" s="113"/>
      <c r="J131" s="114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04"/>
    </row>
    <row r="132" spans="1:23" ht="16.5">
      <c r="A132" s="48"/>
      <c r="B132" s="118"/>
      <c r="C132" s="104"/>
      <c r="D132" s="104"/>
      <c r="E132" s="104"/>
      <c r="F132" s="104"/>
      <c r="G132" s="48"/>
      <c r="H132" s="48"/>
      <c r="I132" s="113"/>
      <c r="J132" s="114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04"/>
    </row>
    <row r="133" spans="1:23" ht="16.5">
      <c r="A133" s="48"/>
      <c r="B133" s="118"/>
      <c r="C133" s="104"/>
      <c r="D133" s="104"/>
      <c r="E133" s="104"/>
      <c r="F133" s="104"/>
      <c r="G133" s="48"/>
      <c r="H133" s="48"/>
      <c r="I133" s="113"/>
      <c r="J133" s="114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04"/>
    </row>
    <row r="134" spans="1:23" ht="16.5">
      <c r="A134" s="48"/>
      <c r="B134" s="118"/>
      <c r="C134" s="104"/>
      <c r="D134" s="104"/>
      <c r="E134" s="104"/>
      <c r="F134" s="104"/>
      <c r="G134" s="48"/>
      <c r="H134" s="48"/>
      <c r="I134" s="113"/>
      <c r="J134" s="114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04"/>
    </row>
    <row r="135" spans="1:23" ht="16.5">
      <c r="A135" s="48"/>
      <c r="B135" s="118"/>
      <c r="C135" s="104"/>
      <c r="D135" s="104"/>
      <c r="E135" s="104"/>
      <c r="F135" s="104"/>
      <c r="G135" s="48"/>
      <c r="H135" s="48"/>
      <c r="I135" s="113"/>
      <c r="J135" s="114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04"/>
    </row>
    <row r="136" spans="1:23" ht="16.5">
      <c r="A136" s="48"/>
      <c r="B136" s="118"/>
      <c r="C136" s="104"/>
      <c r="D136" s="104"/>
      <c r="E136" s="104"/>
      <c r="F136" s="104"/>
      <c r="G136" s="48"/>
      <c r="H136" s="48"/>
      <c r="I136" s="113"/>
      <c r="J136" s="114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04"/>
    </row>
    <row r="137" spans="1:23" ht="16.5">
      <c r="A137" s="48"/>
      <c r="B137" s="118"/>
      <c r="C137" s="104"/>
      <c r="D137" s="104"/>
      <c r="E137" s="104"/>
      <c r="F137" s="104"/>
      <c r="G137" s="48"/>
      <c r="H137" s="48"/>
      <c r="I137" s="113"/>
      <c r="J137" s="114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04"/>
    </row>
    <row r="138" spans="1:23" ht="16.5">
      <c r="A138" s="48"/>
      <c r="B138" s="118"/>
      <c r="C138" s="104"/>
      <c r="D138" s="104"/>
      <c r="E138" s="104"/>
      <c r="F138" s="104"/>
      <c r="G138" s="48"/>
      <c r="H138" s="48"/>
      <c r="I138" s="113"/>
      <c r="J138" s="114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04"/>
    </row>
    <row r="139" spans="1:23" ht="16.5">
      <c r="A139" s="48"/>
      <c r="B139" s="118"/>
      <c r="C139" s="104"/>
      <c r="D139" s="104"/>
      <c r="E139" s="104"/>
      <c r="F139" s="104"/>
      <c r="G139" s="48"/>
      <c r="H139" s="48"/>
      <c r="I139" s="113"/>
      <c r="J139" s="114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04"/>
    </row>
    <row r="140" spans="1:23" ht="16.5">
      <c r="A140" s="48"/>
      <c r="B140" s="118"/>
      <c r="C140" s="104"/>
      <c r="D140" s="104"/>
      <c r="E140" s="104"/>
      <c r="F140" s="104"/>
      <c r="G140" s="48"/>
      <c r="H140" s="48"/>
      <c r="I140" s="113"/>
      <c r="J140" s="114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04"/>
    </row>
    <row r="141" spans="1:23" ht="16.5">
      <c r="A141" s="48"/>
      <c r="B141" s="118"/>
      <c r="C141" s="104"/>
      <c r="D141" s="104"/>
      <c r="E141" s="104"/>
      <c r="F141" s="104"/>
      <c r="G141" s="48"/>
      <c r="H141" s="48"/>
      <c r="I141" s="113"/>
      <c r="J141" s="114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04"/>
    </row>
    <row r="142" spans="1:23" ht="16.5">
      <c r="A142" s="48"/>
      <c r="B142" s="118"/>
      <c r="C142" s="104"/>
      <c r="D142" s="104"/>
      <c r="E142" s="104"/>
      <c r="F142" s="104"/>
      <c r="G142" s="48"/>
      <c r="H142" s="48"/>
      <c r="I142" s="113"/>
      <c r="J142" s="114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04"/>
    </row>
    <row r="143" spans="1:23" ht="16.5">
      <c r="A143" s="48"/>
      <c r="B143" s="118"/>
      <c r="C143" s="104"/>
      <c r="D143" s="104"/>
      <c r="E143" s="104"/>
      <c r="F143" s="104"/>
      <c r="G143" s="48"/>
      <c r="H143" s="48"/>
      <c r="I143" s="113"/>
      <c r="J143" s="114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04"/>
    </row>
    <row r="144" spans="1:23" ht="16.5">
      <c r="A144" s="48"/>
      <c r="B144" s="118"/>
      <c r="C144" s="104"/>
      <c r="D144" s="104"/>
      <c r="E144" s="104"/>
      <c r="F144" s="104"/>
      <c r="G144" s="48"/>
      <c r="H144" s="48"/>
      <c r="I144" s="113"/>
      <c r="J144" s="114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04"/>
    </row>
    <row r="145" spans="1:23" ht="16.5">
      <c r="A145" s="48"/>
      <c r="B145" s="118"/>
      <c r="C145" s="104"/>
      <c r="D145" s="104"/>
      <c r="E145" s="104"/>
      <c r="F145" s="104"/>
      <c r="G145" s="48"/>
      <c r="H145" s="48"/>
      <c r="I145" s="113"/>
      <c r="J145" s="114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04"/>
    </row>
    <row r="146" spans="1:23" ht="16.5">
      <c r="A146" s="48"/>
      <c r="B146" s="118"/>
      <c r="C146" s="104"/>
      <c r="D146" s="104"/>
      <c r="E146" s="104"/>
      <c r="F146" s="104"/>
      <c r="G146" s="48"/>
      <c r="H146" s="48"/>
      <c r="I146" s="113"/>
      <c r="J146" s="114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04"/>
    </row>
    <row r="147" spans="1:23" ht="16.5">
      <c r="A147" s="48"/>
      <c r="B147" s="118"/>
      <c r="C147" s="104"/>
      <c r="D147" s="104"/>
      <c r="E147" s="104"/>
      <c r="F147" s="104"/>
      <c r="G147" s="48"/>
      <c r="H147" s="48"/>
      <c r="I147" s="113"/>
      <c r="J147" s="114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04"/>
    </row>
    <row r="148" spans="1:23" ht="16.5">
      <c r="A148" s="48"/>
      <c r="B148" s="118"/>
      <c r="C148" s="104"/>
      <c r="D148" s="104"/>
      <c r="E148" s="104"/>
      <c r="F148" s="104"/>
      <c r="G148" s="48"/>
      <c r="H148" s="48"/>
      <c r="I148" s="113"/>
      <c r="J148" s="114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04"/>
    </row>
    <row r="149" spans="1:23" ht="16.5">
      <c r="A149" s="48"/>
      <c r="B149" s="118"/>
      <c r="C149" s="104"/>
      <c r="D149" s="104"/>
      <c r="E149" s="104"/>
      <c r="F149" s="104"/>
      <c r="G149" s="48"/>
      <c r="H149" s="48"/>
      <c r="I149" s="113"/>
      <c r="J149" s="114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04"/>
    </row>
    <row r="150" spans="1:23" ht="16.5">
      <c r="A150" s="48"/>
      <c r="B150" s="118"/>
      <c r="C150" s="104"/>
      <c r="D150" s="104"/>
      <c r="E150" s="104"/>
      <c r="F150" s="104"/>
      <c r="G150" s="48"/>
      <c r="H150" s="48"/>
      <c r="I150" s="113"/>
      <c r="J150" s="114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04"/>
    </row>
    <row r="151" spans="1:23" ht="16.5">
      <c r="A151" s="48"/>
      <c r="B151" s="118"/>
      <c r="C151" s="104"/>
      <c r="D151" s="104"/>
      <c r="E151" s="104"/>
      <c r="F151" s="104"/>
      <c r="G151" s="48"/>
      <c r="H151" s="48"/>
      <c r="I151" s="113"/>
      <c r="J151" s="114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04"/>
    </row>
    <row r="152" spans="1:23" ht="16.5">
      <c r="A152" s="48"/>
      <c r="B152" s="118"/>
      <c r="C152" s="104"/>
      <c r="D152" s="104"/>
      <c r="E152" s="104"/>
      <c r="F152" s="104"/>
      <c r="G152" s="48"/>
      <c r="H152" s="48"/>
      <c r="I152" s="113"/>
      <c r="J152" s="114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04"/>
    </row>
    <row r="153" spans="1:23" ht="16.5">
      <c r="A153" s="48"/>
      <c r="B153" s="118"/>
      <c r="C153" s="104"/>
      <c r="D153" s="104"/>
      <c r="E153" s="104"/>
      <c r="F153" s="104"/>
      <c r="G153" s="48"/>
      <c r="H153" s="48"/>
      <c r="I153" s="113"/>
      <c r="J153" s="114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04"/>
    </row>
    <row r="154" spans="1:23" ht="16.5">
      <c r="A154" s="48"/>
      <c r="B154" s="118"/>
      <c r="C154" s="104"/>
      <c r="D154" s="104"/>
      <c r="E154" s="104"/>
      <c r="F154" s="104"/>
      <c r="G154" s="48"/>
      <c r="H154" s="48"/>
      <c r="I154" s="113"/>
      <c r="J154" s="114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04"/>
    </row>
    <row r="155" spans="1:23" ht="16.5">
      <c r="A155" s="48"/>
      <c r="B155" s="118"/>
      <c r="C155" s="104"/>
      <c r="D155" s="104"/>
      <c r="E155" s="104"/>
      <c r="F155" s="104"/>
      <c r="G155" s="48"/>
      <c r="H155" s="48"/>
      <c r="I155" s="113"/>
      <c r="J155" s="114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04"/>
    </row>
    <row r="156" spans="1:23" ht="16.5">
      <c r="A156" s="48"/>
      <c r="B156" s="118"/>
      <c r="C156" s="104"/>
      <c r="D156" s="104"/>
      <c r="E156" s="104"/>
      <c r="F156" s="104"/>
      <c r="G156" s="48"/>
      <c r="H156" s="48"/>
      <c r="I156" s="113"/>
      <c r="J156" s="114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04"/>
    </row>
    <row r="157" spans="1:23" ht="16.5">
      <c r="A157" s="48"/>
      <c r="B157" s="118"/>
      <c r="C157" s="104"/>
      <c r="D157" s="104"/>
      <c r="E157" s="104"/>
      <c r="F157" s="104"/>
      <c r="G157" s="48"/>
      <c r="H157" s="48"/>
      <c r="I157" s="113"/>
      <c r="J157" s="114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04"/>
    </row>
    <row r="158" spans="1:23" ht="16.5">
      <c r="A158" s="48"/>
      <c r="B158" s="118"/>
      <c r="C158" s="104"/>
      <c r="D158" s="104"/>
      <c r="E158" s="104"/>
      <c r="F158" s="104"/>
      <c r="G158" s="48"/>
      <c r="H158" s="48"/>
      <c r="I158" s="113"/>
      <c r="J158" s="114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04"/>
    </row>
    <row r="159" spans="1:23" ht="16.5">
      <c r="A159" s="48"/>
      <c r="B159" s="118"/>
      <c r="C159" s="104"/>
      <c r="D159" s="104"/>
      <c r="E159" s="104"/>
      <c r="F159" s="104"/>
      <c r="G159" s="48"/>
      <c r="H159" s="48"/>
      <c r="I159" s="113"/>
      <c r="J159" s="114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04"/>
    </row>
    <row r="160" spans="1:23" ht="16.5">
      <c r="A160" s="48"/>
      <c r="B160" s="118"/>
      <c r="C160" s="104"/>
      <c r="D160" s="104"/>
      <c r="E160" s="104"/>
      <c r="F160" s="104"/>
      <c r="G160" s="48"/>
      <c r="H160" s="48"/>
      <c r="I160" s="113"/>
      <c r="J160" s="114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04"/>
    </row>
    <row r="161" spans="1:23" ht="16.5">
      <c r="A161" s="48"/>
      <c r="B161" s="118"/>
      <c r="C161" s="104"/>
      <c r="D161" s="104"/>
      <c r="E161" s="104"/>
      <c r="F161" s="104"/>
      <c r="G161" s="48"/>
      <c r="H161" s="48"/>
      <c r="I161" s="113"/>
      <c r="J161" s="114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04"/>
    </row>
    <row r="162" spans="1:23" ht="16.5">
      <c r="A162" s="48"/>
      <c r="B162" s="118"/>
      <c r="C162" s="104"/>
      <c r="D162" s="104"/>
      <c r="E162" s="104"/>
      <c r="F162" s="104"/>
      <c r="G162" s="48"/>
      <c r="H162" s="48"/>
      <c r="I162" s="113"/>
      <c r="J162" s="114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04"/>
    </row>
    <row r="163" spans="1:23" ht="16.5">
      <c r="A163" s="48"/>
      <c r="B163" s="118"/>
      <c r="C163" s="104"/>
      <c r="D163" s="104"/>
      <c r="E163" s="104"/>
      <c r="F163" s="104"/>
      <c r="G163" s="48"/>
      <c r="H163" s="48"/>
      <c r="I163" s="113"/>
      <c r="J163" s="114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04"/>
    </row>
    <row r="164" spans="1:23" ht="16.5">
      <c r="A164" s="48"/>
      <c r="B164" s="118"/>
      <c r="C164" s="104"/>
      <c r="D164" s="104"/>
      <c r="E164" s="104"/>
      <c r="F164" s="104"/>
      <c r="G164" s="48"/>
      <c r="H164" s="48"/>
      <c r="I164" s="113"/>
      <c r="J164" s="114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04"/>
    </row>
    <row r="165" spans="1:23" ht="16.5">
      <c r="A165" s="48"/>
      <c r="B165" s="118"/>
      <c r="C165" s="104"/>
      <c r="D165" s="104"/>
      <c r="E165" s="104"/>
      <c r="F165" s="104"/>
      <c r="G165" s="48"/>
      <c r="H165" s="48"/>
      <c r="I165" s="113"/>
      <c r="J165" s="114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04"/>
    </row>
    <row r="166" spans="1:23" ht="16.5">
      <c r="A166" s="48"/>
      <c r="B166" s="118"/>
      <c r="C166" s="104"/>
      <c r="D166" s="104"/>
      <c r="E166" s="104"/>
      <c r="F166" s="104"/>
      <c r="G166" s="48"/>
      <c r="H166" s="48"/>
      <c r="I166" s="113"/>
      <c r="J166" s="114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04"/>
    </row>
    <row r="167" spans="1:23" ht="16.5">
      <c r="A167" s="48"/>
      <c r="B167" s="118"/>
      <c r="C167" s="104"/>
      <c r="D167" s="104"/>
      <c r="E167" s="104"/>
      <c r="F167" s="104"/>
      <c r="G167" s="48"/>
      <c r="H167" s="48"/>
      <c r="I167" s="113"/>
      <c r="J167" s="114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04"/>
    </row>
    <row r="168" spans="1:23" ht="16.5">
      <c r="A168" s="48"/>
      <c r="B168" s="118"/>
      <c r="C168" s="104"/>
      <c r="D168" s="104"/>
      <c r="E168" s="104"/>
      <c r="F168" s="104"/>
      <c r="G168" s="48"/>
      <c r="H168" s="48"/>
      <c r="I168" s="113"/>
      <c r="J168" s="114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04"/>
    </row>
    <row r="169" spans="1:23" ht="16.5">
      <c r="A169" s="48"/>
      <c r="B169" s="118"/>
      <c r="C169" s="104"/>
      <c r="D169" s="104"/>
      <c r="E169" s="104"/>
      <c r="F169" s="104"/>
      <c r="G169" s="48"/>
      <c r="H169" s="48"/>
      <c r="I169" s="113"/>
      <c r="J169" s="114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04"/>
    </row>
    <row r="170" spans="1:23" ht="16.5">
      <c r="A170" s="48"/>
      <c r="B170" s="118"/>
      <c r="C170" s="104"/>
      <c r="D170" s="104"/>
      <c r="E170" s="104"/>
      <c r="F170" s="104"/>
      <c r="G170" s="48"/>
      <c r="H170" s="48"/>
      <c r="I170" s="113"/>
      <c r="J170" s="114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04"/>
    </row>
    <row r="171" spans="1:23" ht="16.5">
      <c r="A171" s="48"/>
      <c r="B171" s="118"/>
      <c r="C171" s="104"/>
      <c r="D171" s="104"/>
      <c r="E171" s="104"/>
      <c r="F171" s="104"/>
      <c r="G171" s="48"/>
      <c r="H171" s="48"/>
      <c r="I171" s="113"/>
      <c r="J171" s="114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04"/>
    </row>
    <row r="172" spans="1:23" ht="16.5">
      <c r="A172" s="48"/>
      <c r="B172" s="118"/>
      <c r="C172" s="104"/>
      <c r="D172" s="104"/>
      <c r="E172" s="104"/>
      <c r="F172" s="104"/>
      <c r="G172" s="48"/>
      <c r="H172" s="48"/>
      <c r="I172" s="113"/>
      <c r="J172" s="114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04"/>
    </row>
    <row r="173" spans="1:23" ht="16.5">
      <c r="A173" s="48"/>
      <c r="B173" s="118"/>
      <c r="C173" s="104"/>
      <c r="D173" s="104"/>
      <c r="E173" s="104"/>
      <c r="F173" s="104"/>
      <c r="G173" s="48"/>
      <c r="H173" s="48"/>
      <c r="I173" s="113"/>
      <c r="J173" s="114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04"/>
    </row>
    <row r="174" spans="1:23" ht="16.5">
      <c r="A174" s="48"/>
      <c r="B174" s="118"/>
      <c r="C174" s="104"/>
      <c r="D174" s="104"/>
      <c r="E174" s="104"/>
      <c r="F174" s="104"/>
      <c r="G174" s="48"/>
      <c r="H174" s="48"/>
      <c r="I174" s="113"/>
      <c r="J174" s="114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04"/>
    </row>
    <row r="175" spans="1:23" ht="16.5">
      <c r="A175" s="48"/>
      <c r="B175" s="118"/>
      <c r="C175" s="104"/>
      <c r="D175" s="104"/>
      <c r="E175" s="104"/>
      <c r="F175" s="104"/>
      <c r="G175" s="48"/>
      <c r="H175" s="48"/>
      <c r="I175" s="113"/>
      <c r="J175" s="114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04"/>
    </row>
    <row r="176" spans="1:23" ht="16.5">
      <c r="A176" s="48"/>
      <c r="B176" s="118"/>
      <c r="C176" s="104"/>
      <c r="D176" s="104"/>
      <c r="E176" s="104"/>
      <c r="F176" s="104"/>
      <c r="G176" s="48"/>
      <c r="H176" s="48"/>
      <c r="I176" s="113"/>
      <c r="J176" s="114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04"/>
    </row>
    <row r="177" spans="1:23" ht="16.5">
      <c r="A177" s="48"/>
      <c r="B177" s="118"/>
      <c r="C177" s="104"/>
      <c r="D177" s="104"/>
      <c r="E177" s="104"/>
      <c r="F177" s="104"/>
      <c r="G177" s="48"/>
      <c r="H177" s="48"/>
      <c r="I177" s="113"/>
      <c r="J177" s="114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04"/>
    </row>
    <row r="178" spans="1:23" ht="16.5">
      <c r="A178" s="48"/>
      <c r="B178" s="118"/>
      <c r="C178" s="104"/>
      <c r="D178" s="104"/>
      <c r="E178" s="104"/>
      <c r="F178" s="104"/>
      <c r="G178" s="48"/>
      <c r="H178" s="48"/>
      <c r="I178" s="113"/>
      <c r="J178" s="114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04"/>
    </row>
    <row r="179" spans="1:23" ht="16.5">
      <c r="A179" s="48"/>
      <c r="B179" s="118"/>
      <c r="C179" s="104"/>
      <c r="D179" s="104"/>
      <c r="E179" s="104"/>
      <c r="F179" s="104"/>
      <c r="G179" s="48"/>
      <c r="H179" s="48"/>
      <c r="I179" s="113"/>
      <c r="J179" s="114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04"/>
    </row>
    <row r="180" spans="1:23" ht="16.5">
      <c r="A180" s="48"/>
      <c r="B180" s="118"/>
      <c r="C180" s="104"/>
      <c r="D180" s="104"/>
      <c r="E180" s="104"/>
      <c r="F180" s="104"/>
      <c r="G180" s="48"/>
      <c r="H180" s="48"/>
      <c r="I180" s="113"/>
      <c r="J180" s="114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04"/>
    </row>
    <row r="181" spans="1:23" ht="16.5">
      <c r="A181" s="48"/>
      <c r="B181" s="118"/>
      <c r="C181" s="104"/>
      <c r="D181" s="104"/>
      <c r="E181" s="104"/>
      <c r="F181" s="104"/>
      <c r="G181" s="48"/>
      <c r="H181" s="48"/>
      <c r="I181" s="113"/>
      <c r="J181" s="114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04"/>
    </row>
    <row r="182" spans="1:23" ht="16.5">
      <c r="A182" s="48"/>
      <c r="B182" s="118"/>
      <c r="C182" s="104"/>
      <c r="D182" s="104"/>
      <c r="E182" s="104"/>
      <c r="F182" s="104"/>
      <c r="G182" s="48"/>
      <c r="H182" s="48"/>
      <c r="I182" s="113"/>
      <c r="J182" s="114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04"/>
    </row>
    <row r="183" spans="1:23" ht="16.5">
      <c r="A183" s="48"/>
      <c r="B183" s="118"/>
      <c r="C183" s="104"/>
      <c r="D183" s="104"/>
      <c r="E183" s="104"/>
      <c r="F183" s="104"/>
      <c r="G183" s="48"/>
      <c r="H183" s="48"/>
      <c r="I183" s="113"/>
      <c r="J183" s="114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04"/>
    </row>
    <row r="184" spans="1:23" ht="16.5">
      <c r="A184" s="48"/>
      <c r="B184" s="118"/>
      <c r="C184" s="104"/>
      <c r="D184" s="104"/>
      <c r="E184" s="104"/>
      <c r="F184" s="104"/>
      <c r="G184" s="48"/>
      <c r="H184" s="48"/>
      <c r="I184" s="113"/>
      <c r="J184" s="114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04"/>
    </row>
    <row r="185" spans="1:23" ht="16.5">
      <c r="A185" s="48"/>
      <c r="B185" s="118"/>
      <c r="C185" s="104"/>
      <c r="D185" s="104"/>
      <c r="E185" s="104"/>
      <c r="F185" s="104"/>
      <c r="G185" s="48"/>
      <c r="H185" s="48"/>
      <c r="I185" s="113"/>
      <c r="J185" s="114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04"/>
    </row>
    <row r="186" spans="1:23" ht="16.5">
      <c r="A186" s="48"/>
      <c r="B186" s="118"/>
      <c r="C186" s="104"/>
      <c r="D186" s="104"/>
      <c r="E186" s="104"/>
      <c r="F186" s="104"/>
      <c r="G186" s="48"/>
      <c r="H186" s="48"/>
      <c r="I186" s="113"/>
      <c r="J186" s="114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04"/>
    </row>
    <row r="187" spans="1:23" ht="16.5">
      <c r="A187" s="48"/>
      <c r="B187" s="118"/>
      <c r="C187" s="104"/>
      <c r="D187" s="104"/>
      <c r="E187" s="104"/>
      <c r="F187" s="104"/>
      <c r="G187" s="48"/>
      <c r="H187" s="48"/>
      <c r="I187" s="113"/>
      <c r="J187" s="114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04"/>
    </row>
    <row r="188" spans="1:23" ht="16.5">
      <c r="A188" s="48"/>
      <c r="B188" s="118"/>
      <c r="C188" s="104"/>
      <c r="D188" s="104"/>
      <c r="E188" s="104"/>
      <c r="F188" s="104"/>
      <c r="G188" s="48"/>
      <c r="H188" s="48"/>
      <c r="I188" s="113"/>
      <c r="J188" s="114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04"/>
    </row>
    <row r="189" spans="1:23" ht="16.5">
      <c r="A189" s="48"/>
      <c r="B189" s="118"/>
      <c r="C189" s="104"/>
      <c r="D189" s="104"/>
      <c r="E189" s="104"/>
      <c r="F189" s="104"/>
      <c r="G189" s="48"/>
      <c r="H189" s="48"/>
      <c r="I189" s="113"/>
      <c r="J189" s="114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04"/>
    </row>
    <row r="190" spans="1:23" ht="16.5">
      <c r="A190" s="48"/>
      <c r="B190" s="118"/>
      <c r="C190" s="104"/>
      <c r="D190" s="104"/>
      <c r="E190" s="104"/>
      <c r="F190" s="104"/>
      <c r="G190" s="48"/>
      <c r="H190" s="48"/>
      <c r="I190" s="113"/>
      <c r="J190" s="114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04"/>
    </row>
    <row r="191" spans="1:23" ht="16.5">
      <c r="A191" s="48"/>
      <c r="B191" s="118"/>
      <c r="C191" s="104"/>
      <c r="D191" s="104"/>
      <c r="E191" s="104"/>
      <c r="F191" s="104"/>
      <c r="G191" s="48"/>
      <c r="H191" s="48"/>
      <c r="I191" s="113"/>
      <c r="J191" s="114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04"/>
    </row>
    <row r="192" spans="1:23" ht="16.5">
      <c r="A192" s="48"/>
      <c r="B192" s="118"/>
      <c r="C192" s="104"/>
      <c r="D192" s="104"/>
      <c r="E192" s="104"/>
      <c r="F192" s="104"/>
      <c r="G192" s="48"/>
      <c r="H192" s="48"/>
      <c r="I192" s="113"/>
      <c r="J192" s="114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04"/>
    </row>
    <row r="193" spans="1:23" ht="16.5">
      <c r="A193" s="48"/>
      <c r="B193" s="118"/>
      <c r="C193" s="104"/>
      <c r="D193" s="104"/>
      <c r="E193" s="104"/>
      <c r="F193" s="104"/>
      <c r="G193" s="48"/>
      <c r="H193" s="48"/>
      <c r="I193" s="113"/>
      <c r="J193" s="114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04"/>
    </row>
    <row r="194" spans="1:23" ht="16.5">
      <c r="A194" s="48"/>
      <c r="B194" s="118"/>
      <c r="C194" s="104"/>
      <c r="D194" s="104"/>
      <c r="E194" s="104"/>
      <c r="F194" s="104"/>
      <c r="G194" s="48"/>
      <c r="H194" s="48"/>
      <c r="I194" s="113"/>
      <c r="J194" s="114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04"/>
    </row>
    <row r="195" spans="1:23" ht="16.5">
      <c r="A195" s="48"/>
      <c r="B195" s="118"/>
      <c r="C195" s="104"/>
      <c r="D195" s="104"/>
      <c r="E195" s="104"/>
      <c r="F195" s="104"/>
      <c r="G195" s="48"/>
      <c r="H195" s="48"/>
      <c r="I195" s="113"/>
      <c r="J195" s="114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04"/>
    </row>
    <row r="196" spans="1:23" ht="16.5">
      <c r="A196" s="48"/>
      <c r="B196" s="118"/>
      <c r="C196" s="104"/>
      <c r="D196" s="104"/>
      <c r="E196" s="104"/>
      <c r="F196" s="104"/>
      <c r="G196" s="48"/>
      <c r="H196" s="48"/>
      <c r="I196" s="113"/>
      <c r="J196" s="114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04"/>
    </row>
    <row r="197" spans="1:23" ht="16.5">
      <c r="A197" s="48"/>
      <c r="B197" s="118"/>
      <c r="C197" s="104"/>
      <c r="D197" s="104"/>
      <c r="E197" s="104"/>
      <c r="F197" s="104"/>
      <c r="G197" s="48"/>
      <c r="H197" s="48"/>
      <c r="I197" s="113"/>
      <c r="J197" s="114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04"/>
    </row>
    <row r="198" spans="1:23" ht="16.5">
      <c r="A198" s="48"/>
      <c r="B198" s="118"/>
      <c r="C198" s="104"/>
      <c r="D198" s="104"/>
      <c r="E198" s="104"/>
      <c r="F198" s="104"/>
      <c r="G198" s="48"/>
      <c r="H198" s="48"/>
      <c r="I198" s="113"/>
      <c r="J198" s="114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04"/>
    </row>
    <row r="199" spans="1:23" ht="16.5">
      <c r="A199" s="48"/>
      <c r="B199" s="118"/>
      <c r="C199" s="104"/>
      <c r="D199" s="104"/>
      <c r="E199" s="104"/>
      <c r="F199" s="104"/>
      <c r="G199" s="48"/>
      <c r="H199" s="48"/>
      <c r="I199" s="113"/>
      <c r="J199" s="114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04"/>
    </row>
    <row r="200" spans="1:23">
      <c r="B200" s="119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6"/>
      <c r="U200" s="115"/>
      <c r="V200" s="116"/>
    </row>
    <row r="201" spans="1:23">
      <c r="B201" s="119"/>
    </row>
  </sheetData>
  <autoFilter ref="B4:W49" xr:uid="{2BBABCC8-2CD3-42B8-AB7C-43BADA6D16EA}"/>
  <mergeCells count="19">
    <mergeCell ref="A3:A4"/>
    <mergeCell ref="B3:B4"/>
    <mergeCell ref="C3:C4"/>
    <mergeCell ref="D3:D4"/>
    <mergeCell ref="E3:E4"/>
    <mergeCell ref="K1:M1"/>
    <mergeCell ref="O1:Q1"/>
    <mergeCell ref="T1:U1"/>
    <mergeCell ref="V1:W1"/>
    <mergeCell ref="A2:H2"/>
    <mergeCell ref="M3:O3"/>
    <mergeCell ref="P3:U3"/>
    <mergeCell ref="B5:H5"/>
    <mergeCell ref="F3:F4"/>
    <mergeCell ref="G3:G4"/>
    <mergeCell ref="H3:H4"/>
    <mergeCell ref="I3:I4"/>
    <mergeCell ref="J3:J4"/>
    <mergeCell ref="K3:L3"/>
  </mergeCells>
  <phoneticPr fontId="29" type="noConversion"/>
  <conditionalFormatting sqref="B6:B199 D7:W199 D6:M6">
    <cfRule type="expression" dxfId="31" priority="3">
      <formula>MOD(ROW(),2)=0</formula>
    </cfRule>
  </conditionalFormatting>
  <conditionalFormatting sqref="B5 I5:M5">
    <cfRule type="expression" dxfId="30" priority="6">
      <formula>MOD(ROW(),2)=0</formula>
    </cfRule>
  </conditionalFormatting>
  <conditionalFormatting sqref="N5:W5">
    <cfRule type="expression" dxfId="29" priority="5">
      <formula>MOD(ROW(),2)=0</formula>
    </cfRule>
  </conditionalFormatting>
  <conditionalFormatting sqref="N6:W6">
    <cfRule type="expression" dxfId="28" priority="4">
      <formula>MOD(ROW(),2)=0</formula>
    </cfRule>
  </conditionalFormatting>
  <conditionalFormatting sqref="A6:A199">
    <cfRule type="expression" dxfId="27" priority="2">
      <formula>MOD(ROW(),2)=0</formula>
    </cfRule>
  </conditionalFormatting>
  <conditionalFormatting sqref="C6:C199">
    <cfRule type="expression" dxfId="26" priority="1">
      <formula>MOD(ROW(),2)=0</formula>
    </cfRule>
  </conditionalFormatting>
  <pageMargins left="7.7777777777777807E-2" right="0.196527777777778" top="0.235416666666667" bottom="7.7777777777777807E-2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Fill="0" autoLine="0" r:id="rId5">
            <anchor moveWithCells="1">
              <from>
                <xdr:col>17</xdr:col>
                <xdr:colOff>152400</xdr:colOff>
                <xdr:row>0</xdr:row>
                <xdr:rowOff>66675</xdr:rowOff>
              </from>
              <to>
                <xdr:col>18</xdr:col>
                <xdr:colOff>771525</xdr:colOff>
                <xdr:row>0</xdr:row>
                <xdr:rowOff>438150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71097-CA7F-445A-A98C-52E67EA67987}">
  <sheetPr codeName="Sheet14"/>
  <dimension ref="A1:O5"/>
  <sheetViews>
    <sheetView topLeftCell="D1" workbookViewId="0">
      <pane ySplit="1" topLeftCell="A2" activePane="bottomLeft" state="frozen"/>
      <selection pane="bottomLeft" activeCell="O1" sqref="O1:O1048576"/>
    </sheetView>
  </sheetViews>
  <sheetFormatPr defaultColWidth="9" defaultRowHeight="13.5"/>
  <cols>
    <col min="1" max="1" width="6.75" customWidth="1"/>
    <col min="2" max="2" width="10.75" style="164" customWidth="1"/>
    <col min="3" max="3" width="24.375" style="165" customWidth="1"/>
    <col min="4" max="4" width="26.625" style="165" customWidth="1"/>
    <col min="5" max="5" width="12.75" style="165" customWidth="1"/>
    <col min="6" max="6" width="13.5" style="165" customWidth="1"/>
    <col min="7" max="7" width="9.125" style="165" customWidth="1"/>
    <col min="8" max="8" width="23" style="165" customWidth="1"/>
    <col min="9" max="9" width="11" style="165" customWidth="1"/>
    <col min="10" max="10" width="10.75" style="165" customWidth="1"/>
    <col min="11" max="12" width="13" style="166" customWidth="1"/>
    <col min="13" max="13" width="11.125" style="165" customWidth="1"/>
    <col min="14" max="15" width="11.875" style="82" customWidth="1"/>
    <col min="16" max="16384" width="9" style="82"/>
  </cols>
  <sheetData>
    <row r="1" spans="1:15" ht="21" customHeight="1">
      <c r="A1" t="s">
        <v>45</v>
      </c>
      <c r="B1" s="164" t="s">
        <v>40</v>
      </c>
      <c r="C1" s="165" t="s">
        <v>42</v>
      </c>
      <c r="D1" s="165" t="s">
        <v>47</v>
      </c>
      <c r="E1" s="165" t="s">
        <v>41</v>
      </c>
      <c r="F1" s="165" t="s">
        <v>39</v>
      </c>
      <c r="G1" s="165" t="s">
        <v>183</v>
      </c>
      <c r="H1" s="165" t="s">
        <v>44</v>
      </c>
      <c r="I1" s="165" t="s">
        <v>182</v>
      </c>
      <c r="J1" s="165" t="s">
        <v>46</v>
      </c>
      <c r="K1" s="166" t="s">
        <v>186</v>
      </c>
      <c r="L1" s="166" t="s">
        <v>187</v>
      </c>
      <c r="M1" s="165" t="s">
        <v>172</v>
      </c>
      <c r="N1" s="204" t="s">
        <v>264</v>
      </c>
      <c r="O1" s="204" t="s">
        <v>265</v>
      </c>
    </row>
    <row r="2" spans="1:15">
      <c r="A2">
        <v>1</v>
      </c>
      <c r="B2" s="164">
        <v>44332</v>
      </c>
      <c r="C2" s="165" t="s">
        <v>161</v>
      </c>
      <c r="D2" s="165" t="s">
        <v>220</v>
      </c>
      <c r="E2" s="165" t="s">
        <v>221</v>
      </c>
      <c r="F2" s="165" t="s">
        <v>162</v>
      </c>
      <c r="G2" s="165" t="s">
        <v>195</v>
      </c>
      <c r="H2" s="165" t="s">
        <v>196</v>
      </c>
      <c r="I2" s="165" t="s">
        <v>225</v>
      </c>
      <c r="J2" s="165" t="s">
        <v>59</v>
      </c>
      <c r="K2" s="166">
        <v>1184.5999999999999</v>
      </c>
      <c r="N2" s="204"/>
      <c r="O2" s="204">
        <v>165212.16</v>
      </c>
    </row>
    <row r="3" spans="1:15">
      <c r="A3">
        <v>2</v>
      </c>
      <c r="B3" s="164">
        <v>44332</v>
      </c>
      <c r="C3" s="165" t="s">
        <v>223</v>
      </c>
      <c r="D3" s="165" t="s">
        <v>220</v>
      </c>
      <c r="E3" s="165" t="s">
        <v>221</v>
      </c>
      <c r="F3" s="165" t="s">
        <v>162</v>
      </c>
      <c r="G3" s="165" t="s">
        <v>195</v>
      </c>
      <c r="H3" s="165" t="s">
        <v>196</v>
      </c>
      <c r="I3" s="165" t="s">
        <v>77</v>
      </c>
      <c r="K3" s="166">
        <v>1000</v>
      </c>
      <c r="N3" s="204"/>
      <c r="O3" s="204">
        <v>164212.16</v>
      </c>
    </row>
    <row r="4" spans="1:15">
      <c r="A4">
        <v>3</v>
      </c>
      <c r="B4" s="164">
        <v>44332</v>
      </c>
      <c r="C4" s="165" t="s">
        <v>161</v>
      </c>
      <c r="D4" s="165" t="s">
        <v>220</v>
      </c>
      <c r="E4" s="165" t="s">
        <v>221</v>
      </c>
      <c r="F4" s="165" t="s">
        <v>162</v>
      </c>
      <c r="G4" s="165" t="s">
        <v>195</v>
      </c>
      <c r="H4" s="165" t="s">
        <v>196</v>
      </c>
      <c r="I4" s="165" t="s">
        <v>225</v>
      </c>
      <c r="J4" s="165" t="s">
        <v>59</v>
      </c>
      <c r="K4" s="166">
        <v>1184.5999999999999</v>
      </c>
      <c r="N4" s="204"/>
      <c r="O4" s="204">
        <v>163027.56</v>
      </c>
    </row>
    <row r="5" spans="1:15">
      <c r="A5">
        <v>4</v>
      </c>
      <c r="B5" s="164">
        <v>44332</v>
      </c>
      <c r="C5" s="165" t="s">
        <v>223</v>
      </c>
      <c r="D5" s="165" t="s">
        <v>220</v>
      </c>
      <c r="E5" s="165" t="s">
        <v>221</v>
      </c>
      <c r="F5" s="165" t="s">
        <v>162</v>
      </c>
      <c r="G5" s="165" t="s">
        <v>195</v>
      </c>
      <c r="H5" s="165" t="s">
        <v>196</v>
      </c>
      <c r="I5" s="165" t="s">
        <v>77</v>
      </c>
      <c r="K5" s="166">
        <v>1000</v>
      </c>
      <c r="N5" s="204"/>
      <c r="O5" s="204">
        <v>162027.56</v>
      </c>
    </row>
  </sheetData>
  <phoneticPr fontId="29" type="noConversion"/>
  <pageMargins left="7.7777777777777807E-2" right="0.196527777777778" top="0.235416666666667" bottom="7.7777777777777807E-2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9D32B-3091-4148-BD59-AF56F5CAD475}">
  <sheetPr codeName="Sheet10"/>
  <dimension ref="A1:R42"/>
  <sheetViews>
    <sheetView showGridLines="0" workbookViewId="0">
      <selection activeCell="M13" sqref="M13"/>
    </sheetView>
  </sheetViews>
  <sheetFormatPr defaultColWidth="0" defaultRowHeight="13.5" zeroHeight="1"/>
  <cols>
    <col min="1" max="1" width="2.125" customWidth="1"/>
    <col min="2" max="2" width="3.25" style="6" customWidth="1"/>
    <col min="3" max="3" width="11.5" style="6" customWidth="1"/>
    <col min="4" max="4" width="20.625" style="6" customWidth="1"/>
    <col min="5" max="5" width="25" style="6" customWidth="1"/>
    <col min="6" max="6" width="24.75" style="6" customWidth="1"/>
    <col min="7" max="7" width="14.125" style="6" customWidth="1"/>
    <col min="8" max="8" width="11" style="6" customWidth="1"/>
    <col min="9" max="9" width="10.875" style="6" customWidth="1"/>
    <col min="10" max="10" width="26.75" style="6" customWidth="1"/>
    <col min="11" max="11" width="15" style="6" customWidth="1"/>
    <col min="12" max="12" width="11" style="6" customWidth="1"/>
    <col min="13" max="14" width="13.375" style="6" customWidth="1"/>
    <col min="15" max="15" width="9" style="6" customWidth="1"/>
    <col min="16" max="16" width="9.75" style="6" customWidth="1"/>
    <col min="17" max="18" width="9" style="6" customWidth="1"/>
    <col min="19" max="20" width="9" style="6" hidden="1" customWidth="1"/>
    <col min="21" max="16384" width="9" style="6" hidden="1"/>
  </cols>
  <sheetData>
    <row r="1" spans="1:15" ht="22.5" customHeight="1">
      <c r="A1" s="121"/>
      <c r="B1" s="173"/>
      <c r="C1" s="163" t="s">
        <v>184</v>
      </c>
      <c r="D1" s="175">
        <f ca="1">TODAY()</f>
        <v>44332</v>
      </c>
      <c r="E1" s="167" t="s">
        <v>234</v>
      </c>
      <c r="F1" s="81">
        <v>2021</v>
      </c>
      <c r="G1"/>
      <c r="H1"/>
    </row>
    <row r="2" spans="1:15">
      <c r="A2" s="80"/>
      <c r="C2" s="174"/>
    </row>
    <row r="3" spans="1:15" ht="35.1" customHeight="1">
      <c r="A3" s="80"/>
      <c r="C3" s="314" t="s">
        <v>163</v>
      </c>
      <c r="D3" s="315"/>
    </row>
    <row r="4" spans="1:15" ht="35.1" customHeight="1">
      <c r="A4" s="80"/>
      <c r="C4" s="163" t="s">
        <v>238</v>
      </c>
      <c r="D4" s="81" t="s">
        <v>40</v>
      </c>
      <c r="E4" s="163" t="s">
        <v>42</v>
      </c>
      <c r="F4" s="81" t="s">
        <v>47</v>
      </c>
      <c r="G4" s="172" t="s">
        <v>236</v>
      </c>
      <c r="H4" s="81" t="s">
        <v>39</v>
      </c>
      <c r="I4" s="163" t="s">
        <v>183</v>
      </c>
      <c r="J4" s="163" t="s">
        <v>44</v>
      </c>
      <c r="K4" s="163" t="s">
        <v>182</v>
      </c>
      <c r="L4" s="163" t="s">
        <v>46</v>
      </c>
      <c r="M4" s="81" t="s">
        <v>186</v>
      </c>
      <c r="N4" s="172" t="s">
        <v>187</v>
      </c>
      <c r="O4" s="81" t="s">
        <v>172</v>
      </c>
    </row>
    <row r="5" spans="1:15" ht="16.5">
      <c r="A5" s="80"/>
      <c r="C5" s="162">
        <f>IF(COUNTA(D5:O5)&gt;0,1,"")</f>
        <v>1</v>
      </c>
      <c r="D5" s="169">
        <v>44332</v>
      </c>
      <c r="E5" s="48" t="s">
        <v>222</v>
      </c>
      <c r="F5" s="170" t="s">
        <v>220</v>
      </c>
      <c r="G5" s="170" t="s">
        <v>221</v>
      </c>
      <c r="H5" s="170" t="s">
        <v>162</v>
      </c>
      <c r="I5" s="170" t="s">
        <v>195</v>
      </c>
      <c r="J5" s="170" t="s">
        <v>196</v>
      </c>
      <c r="K5" s="170" t="s">
        <v>225</v>
      </c>
      <c r="L5" s="170" t="s">
        <v>185</v>
      </c>
      <c r="M5" s="171">
        <v>1184.5999999999999</v>
      </c>
      <c r="N5" s="171"/>
      <c r="O5" s="170"/>
    </row>
    <row r="6" spans="1:15" ht="16.5">
      <c r="A6" s="80"/>
      <c r="C6" s="44">
        <f>IF(COUNTA(D6:O6)&gt;0,2,"")</f>
        <v>2</v>
      </c>
      <c r="D6" s="161">
        <v>44332</v>
      </c>
      <c r="E6" s="48" t="s">
        <v>224</v>
      </c>
      <c r="F6" s="48" t="s">
        <v>220</v>
      </c>
      <c r="G6" s="48" t="s">
        <v>221</v>
      </c>
      <c r="H6" s="48" t="s">
        <v>162</v>
      </c>
      <c r="I6" s="48" t="s">
        <v>195</v>
      </c>
      <c r="J6" s="48" t="s">
        <v>196</v>
      </c>
      <c r="K6" s="48" t="s">
        <v>77</v>
      </c>
      <c r="L6" s="48"/>
      <c r="M6" s="122">
        <v>1000</v>
      </c>
      <c r="N6" s="122"/>
      <c r="O6" s="48"/>
    </row>
    <row r="7" spans="1:15" ht="16.5">
      <c r="A7" s="80"/>
      <c r="C7" s="44" t="str">
        <f>IF(COUNTA(D7:O7)&gt;0,3,"")</f>
        <v/>
      </c>
      <c r="D7" s="161"/>
      <c r="E7" s="48"/>
      <c r="F7" s="48"/>
      <c r="G7" s="48"/>
      <c r="H7" s="48"/>
      <c r="I7" s="48"/>
      <c r="J7" s="48"/>
      <c r="K7" s="48"/>
      <c r="L7" s="48"/>
      <c r="M7" s="122"/>
      <c r="N7" s="122"/>
      <c r="O7" s="48"/>
    </row>
    <row r="8" spans="1:15" ht="16.5">
      <c r="A8" s="80"/>
      <c r="C8" s="44" t="str">
        <f>IF(COUNTA(D8:O8)&gt;0,4,"")</f>
        <v/>
      </c>
      <c r="D8" s="161"/>
      <c r="E8" s="48"/>
      <c r="F8" s="48"/>
      <c r="G8" s="48"/>
      <c r="H8" s="48"/>
      <c r="I8" s="48"/>
      <c r="J8" s="48"/>
      <c r="K8" s="48"/>
      <c r="L8" s="48"/>
      <c r="M8" s="122"/>
      <c r="N8" s="122"/>
      <c r="O8" s="48"/>
    </row>
    <row r="9" spans="1:15" ht="16.5">
      <c r="A9" s="80"/>
      <c r="C9" s="44" t="str">
        <f>IF(COUNTA(D9:O9)&gt;0,5,"")</f>
        <v/>
      </c>
      <c r="D9" s="161"/>
      <c r="E9" s="48"/>
      <c r="F9" s="48"/>
      <c r="G9" s="48"/>
      <c r="H9" s="48"/>
      <c r="I9" s="48"/>
      <c r="J9" s="48"/>
      <c r="K9" s="48"/>
      <c r="L9" s="48"/>
      <c r="M9" s="122"/>
      <c r="N9" s="122"/>
      <c r="O9" s="48"/>
    </row>
    <row r="10" spans="1:15" ht="16.5">
      <c r="A10" s="80"/>
      <c r="C10" s="44" t="str">
        <f>IF(COUNTA(D10:O10)&gt;0,6,"")</f>
        <v/>
      </c>
      <c r="D10" s="161"/>
      <c r="E10" s="48"/>
      <c r="F10" s="48"/>
      <c r="G10" s="48"/>
      <c r="H10" s="48"/>
      <c r="I10" s="48"/>
      <c r="J10" s="48"/>
      <c r="K10" s="48"/>
      <c r="L10" s="48"/>
      <c r="M10" s="122"/>
      <c r="N10" s="122"/>
      <c r="O10" s="48"/>
    </row>
    <row r="11" spans="1:15" ht="16.5">
      <c r="A11" s="80"/>
      <c r="C11" s="44" t="str">
        <f>IF(COUNTA(D11:O11)&gt;0,7,"")</f>
        <v/>
      </c>
      <c r="D11" s="161"/>
      <c r="E11" s="48"/>
      <c r="F11" s="48"/>
      <c r="G11" s="48"/>
      <c r="H11" s="48"/>
      <c r="I11" s="48"/>
      <c r="J11" s="48"/>
      <c r="K11" s="48"/>
      <c r="L11" s="48"/>
      <c r="M11" s="122"/>
      <c r="N11" s="122"/>
      <c r="O11" s="48"/>
    </row>
    <row r="12" spans="1:15">
      <c r="A12" s="80"/>
    </row>
    <row r="13" spans="1:15">
      <c r="A13" s="80"/>
    </row>
    <row r="14" spans="1:15">
      <c r="A14" s="80"/>
    </row>
    <row r="15" spans="1:15">
      <c r="A15" s="80"/>
      <c r="J15" s="168"/>
    </row>
    <row r="16" spans="1:15">
      <c r="A16" s="80"/>
    </row>
    <row r="17" spans="1:1">
      <c r="A17" s="80"/>
    </row>
    <row r="18" spans="1:1">
      <c r="A18" s="80"/>
    </row>
    <row r="19" spans="1:1">
      <c r="A19" s="80"/>
    </row>
    <row r="20" spans="1:1">
      <c r="A20" s="80"/>
    </row>
    <row r="21" spans="1:1">
      <c r="A21" s="80"/>
    </row>
    <row r="22" spans="1:1">
      <c r="A22" s="80"/>
    </row>
    <row r="23" spans="1:1">
      <c r="A23" s="80"/>
    </row>
    <row r="24" spans="1:1">
      <c r="A24" s="80"/>
    </row>
    <row r="25" spans="1:1">
      <c r="A25" s="80"/>
    </row>
    <row r="26" spans="1:1">
      <c r="A26" s="80"/>
    </row>
    <row r="27" spans="1:1">
      <c r="A27" s="80"/>
    </row>
    <row r="28" spans="1:1">
      <c r="A28" s="80"/>
    </row>
    <row r="29" spans="1:1">
      <c r="A29" s="80"/>
    </row>
    <row r="30" spans="1:1">
      <c r="A30" s="80"/>
    </row>
    <row r="31" spans="1:1">
      <c r="A31" s="80"/>
    </row>
    <row r="32" spans="1:1">
      <c r="A32" s="80"/>
    </row>
    <row r="33" spans="1:1">
      <c r="A33" s="80"/>
    </row>
    <row r="34" spans="1:1">
      <c r="A34" s="80"/>
    </row>
    <row r="35" spans="1:1">
      <c r="A35" s="80"/>
    </row>
    <row r="36" spans="1:1">
      <c r="A36" s="80"/>
    </row>
    <row r="37" spans="1:1">
      <c r="A37" s="80"/>
    </row>
    <row r="38" spans="1:1">
      <c r="A38" s="80"/>
    </row>
    <row r="39" spans="1:1">
      <c r="A39" s="80"/>
    </row>
    <row r="40" spans="1:1">
      <c r="A40" s="80"/>
    </row>
    <row r="41" spans="1:1">
      <c r="A41" s="80"/>
    </row>
    <row r="42" spans="1:1">
      <c r="A42" s="80"/>
    </row>
  </sheetData>
  <mergeCells count="1">
    <mergeCell ref="C3:D3"/>
  </mergeCells>
  <phoneticPr fontId="29" type="noConversion"/>
  <conditionalFormatting sqref="D6:E9 H6:H9 I6:J11 F6:G11 D5:J5 C6:C11 K5:N11">
    <cfRule type="expression" dxfId="10" priority="21">
      <formula>MOD(ROW(),2)=0</formula>
    </cfRule>
  </conditionalFormatting>
  <conditionalFormatting sqref="D10:E11 H10:H11">
    <cfRule type="expression" dxfId="9" priority="20">
      <formula>MOD(ROW(),2)=0</formula>
    </cfRule>
  </conditionalFormatting>
  <conditionalFormatting sqref="O5:O9">
    <cfRule type="expression" dxfId="8" priority="9">
      <formula>MOD(ROW(),2)=0</formula>
    </cfRule>
  </conditionalFormatting>
  <conditionalFormatting sqref="O10:O11">
    <cfRule type="expression" dxfId="7" priority="8">
      <formula>MOD(ROW(),2)=0</formula>
    </cfRule>
  </conditionalFormatting>
  <conditionalFormatting sqref="C5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  <ignoredErrors>
    <ignoredError sqref="C6" formula="1"/>
  </ignoredErrors>
  <drawing r:id="rId2"/>
  <legacyDrawing r:id="rId3"/>
  <controls>
    <mc:AlternateContent xmlns:mc="http://schemas.openxmlformats.org/markup-compatibility/2006">
      <mc:Choice Requires="x14">
        <control shapeId="9228" r:id="rId4" name="CommandButton4">
          <controlPr defaultSize="0" print="0" autoFill="0" autoLine="0" r:id="rId5">
            <anchor moveWithCells="1">
              <from>
                <xdr:col>5</xdr:col>
                <xdr:colOff>1085850</xdr:colOff>
                <xdr:row>1</xdr:row>
                <xdr:rowOff>152400</xdr:rowOff>
              </from>
              <to>
                <xdr:col>6</xdr:col>
                <xdr:colOff>104775</xdr:colOff>
                <xdr:row>2</xdr:row>
                <xdr:rowOff>352425</xdr:rowOff>
              </to>
            </anchor>
          </controlPr>
        </control>
      </mc:Choice>
      <mc:Fallback>
        <control shapeId="9228" r:id="rId4" name="CommandButton4"/>
      </mc:Fallback>
    </mc:AlternateContent>
    <mc:AlternateContent xmlns:mc="http://schemas.openxmlformats.org/markup-compatibility/2006">
      <mc:Choice Requires="x14">
        <control shapeId="9227" r:id="rId6" name="CommandButton3">
          <controlPr defaultSize="0" print="0" autoFill="0" autoLine="0" r:id="rId7">
            <anchor moveWithCells="1">
              <from>
                <xdr:col>5</xdr:col>
                <xdr:colOff>114300</xdr:colOff>
                <xdr:row>1</xdr:row>
                <xdr:rowOff>152400</xdr:rowOff>
              </from>
              <to>
                <xdr:col>5</xdr:col>
                <xdr:colOff>1019175</xdr:colOff>
                <xdr:row>2</xdr:row>
                <xdr:rowOff>352425</xdr:rowOff>
              </to>
            </anchor>
          </controlPr>
        </control>
      </mc:Choice>
      <mc:Fallback>
        <control shapeId="9227" r:id="rId6" name="CommandButton3"/>
      </mc:Fallback>
    </mc:AlternateContent>
    <mc:AlternateContent xmlns:mc="http://schemas.openxmlformats.org/markup-compatibility/2006">
      <mc:Choice Requires="x14">
        <control shapeId="9222" r:id="rId8" name="TextBox1">
          <controlPr defaultSize="0" print="0" autoLine="0" r:id="rId9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8" name="TextBox1"/>
      </mc:Fallback>
    </mc:AlternateContent>
    <mc:AlternateContent xmlns:mc="http://schemas.openxmlformats.org/markup-compatibility/2006">
      <mc:Choice Requires="x14">
        <control shapeId="9221" r:id="rId10" name="ListBox1">
          <controlPr defaultSize="0" print="0" autoLine="0" r:id="rId11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10</xdr:col>
                <xdr:colOff>838200</xdr:colOff>
                <xdr:row>17</xdr:row>
                <xdr:rowOff>0</xdr:rowOff>
              </to>
            </anchor>
          </controlPr>
        </control>
      </mc:Choice>
      <mc:Fallback>
        <control shapeId="9221" r:id="rId10" name="ListBox1"/>
      </mc:Fallback>
    </mc:AlternateContent>
    <mc:AlternateContent xmlns:mc="http://schemas.openxmlformats.org/markup-compatibility/2006">
      <mc:Choice Requires="x14">
        <control shapeId="9219" r:id="rId12" name="CommandButton2">
          <controlPr defaultSize="0" print="0" autoFill="0" autoLine="0" r:id="rId13">
            <anchor moveWithCells="1">
              <from>
                <xdr:col>4</xdr:col>
                <xdr:colOff>95250</xdr:colOff>
                <xdr:row>1</xdr:row>
                <xdr:rowOff>152400</xdr:rowOff>
              </from>
              <to>
                <xdr:col>4</xdr:col>
                <xdr:colOff>1000125</xdr:colOff>
                <xdr:row>2</xdr:row>
                <xdr:rowOff>352425</xdr:rowOff>
              </to>
            </anchor>
          </controlPr>
        </control>
      </mc:Choice>
      <mc:Fallback>
        <control shapeId="9219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print="0" autoFill="0" autoLine="0" r:id="rId15">
            <anchor moveWithCells="1">
              <from>
                <xdr:col>4</xdr:col>
                <xdr:colOff>1057275</xdr:colOff>
                <xdr:row>1</xdr:row>
                <xdr:rowOff>152400</xdr:rowOff>
              </from>
              <to>
                <xdr:col>5</xdr:col>
                <xdr:colOff>57150</xdr:colOff>
                <xdr:row>2</xdr:row>
                <xdr:rowOff>352425</xdr:rowOff>
              </to>
            </anchor>
          </controlPr>
        </control>
      </mc:Choice>
      <mc:Fallback>
        <control shapeId="9217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5C52CB-20CB-4938-AA22-133E53E3911F}">
          <x14:formula1>
            <xm:f>OFFSET('00参数配置'!$I$9,MATCH("*"&amp;G5&amp;"*",'00参数配置'!$I$9:$I$20,0)-1,,COUNTIF('00参数配置'!$I$9:$I$20,"*"&amp;G5&amp;"*"))</xm:f>
          </x14:formula1>
          <xm:sqref>G5:G11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DV1063"/>
  <sheetViews>
    <sheetView showGridLines="0" showZeros="0" topLeftCell="A4" workbookViewId="0">
      <selection activeCell="G9" sqref="G9:G21"/>
    </sheetView>
  </sheetViews>
  <sheetFormatPr defaultColWidth="9" defaultRowHeight="17.100000000000001" customHeight="1"/>
  <cols>
    <col min="1" max="1" width="21.625" style="3" customWidth="1"/>
    <col min="2" max="2" width="4" style="8" customWidth="1"/>
    <col min="3" max="3" width="4" style="4" customWidth="1"/>
    <col min="4" max="4" width="8.625" style="52" customWidth="1"/>
    <col min="5" max="5" width="12.625" style="34" hidden="1" customWidth="1"/>
    <col min="6" max="6" width="4" style="4" hidden="1" customWidth="1"/>
    <col min="7" max="7" width="25.875" style="52" customWidth="1"/>
    <col min="8" max="8" width="4" style="4" customWidth="1"/>
    <col min="9" max="9" width="8.25" style="52" customWidth="1"/>
    <col min="10" max="10" width="4" style="4" customWidth="1"/>
    <col min="11" max="12" width="12.625" style="132" customWidth="1"/>
    <col min="13" max="13" width="20.5" style="155" customWidth="1"/>
    <col min="14" max="14" width="4" style="4" customWidth="1"/>
    <col min="15" max="15" width="12.625" style="53" customWidth="1"/>
    <col min="16" max="16" width="3.875" style="1" customWidth="1"/>
    <col min="17" max="17" width="12.625" style="145" customWidth="1"/>
    <col min="18" max="18" width="3.75" style="1" customWidth="1"/>
    <col min="19" max="20" width="12.625" style="145" customWidth="1"/>
    <col min="21" max="16350" width="9" style="1"/>
  </cols>
  <sheetData>
    <row r="1" spans="1:20" ht="15.95" customHeight="1">
      <c r="B1" s="1"/>
      <c r="D1" s="14"/>
      <c r="E1" s="19"/>
      <c r="G1" s="14"/>
      <c r="I1" s="14"/>
      <c r="K1" s="124"/>
      <c r="L1" s="124"/>
      <c r="M1" s="146"/>
      <c r="O1" s="20"/>
      <c r="Q1" s="136"/>
      <c r="S1" s="136"/>
      <c r="T1" s="136"/>
    </row>
    <row r="2" spans="1:20" s="1" customFormat="1" ht="24" customHeight="1">
      <c r="A2" s="7"/>
      <c r="D2" s="15"/>
      <c r="E2" s="21"/>
      <c r="G2" s="15"/>
      <c r="I2" s="15"/>
      <c r="K2" s="125"/>
      <c r="L2" s="125"/>
      <c r="M2" s="147"/>
      <c r="O2" s="22"/>
      <c r="Q2" s="137"/>
      <c r="S2" s="137"/>
      <c r="T2" s="137"/>
    </row>
    <row r="3" spans="1:20" s="1" customFormat="1" ht="15.95" customHeight="1">
      <c r="A3" s="7"/>
      <c r="D3" s="15"/>
      <c r="E3" s="21"/>
      <c r="G3" s="15"/>
      <c r="I3" s="15"/>
      <c r="K3" s="125"/>
      <c r="L3" s="125"/>
      <c r="M3" s="147"/>
      <c r="O3" s="22"/>
      <c r="Q3" s="137"/>
      <c r="S3" s="137"/>
      <c r="T3" s="137"/>
    </row>
    <row r="4" spans="1:20" s="1" customFormat="1" ht="24" customHeight="1">
      <c r="A4" s="7"/>
      <c r="B4" s="8"/>
      <c r="C4" s="8"/>
      <c r="D4" s="16"/>
      <c r="E4" s="23"/>
      <c r="F4" s="8"/>
      <c r="G4" s="16"/>
      <c r="H4" s="8"/>
      <c r="I4" s="16"/>
      <c r="J4" s="8"/>
      <c r="K4" s="126"/>
      <c r="L4" s="126"/>
      <c r="M4" s="148"/>
      <c r="O4" s="24"/>
      <c r="Q4" s="138"/>
      <c r="S4" s="138"/>
      <c r="T4" s="138"/>
    </row>
    <row r="5" spans="1:20" s="1" customFormat="1" ht="15.95" customHeight="1">
      <c r="A5" s="7"/>
      <c r="B5" s="8"/>
      <c r="C5" s="4"/>
      <c r="D5" s="17"/>
      <c r="E5" s="25"/>
      <c r="F5" s="4"/>
      <c r="G5" s="17"/>
      <c r="H5" s="4"/>
      <c r="I5" s="17"/>
      <c r="J5" s="4"/>
      <c r="K5" s="127"/>
      <c r="L5" s="127"/>
      <c r="M5" s="149"/>
      <c r="O5" s="26"/>
      <c r="Q5" s="139"/>
      <c r="S5" s="139"/>
      <c r="T5" s="139"/>
    </row>
    <row r="6" spans="1:20" s="2" customFormat="1" ht="27.75">
      <c r="A6" s="9"/>
      <c r="B6" s="10"/>
      <c r="C6" s="11"/>
      <c r="D6" s="54" t="s">
        <v>12</v>
      </c>
      <c r="E6" s="27"/>
      <c r="F6" s="11"/>
      <c r="G6" s="56"/>
      <c r="H6" s="11"/>
      <c r="I6" s="62"/>
      <c r="J6" s="11"/>
      <c r="K6" s="133"/>
      <c r="L6" s="133"/>
      <c r="M6" s="150"/>
      <c r="O6" s="28"/>
      <c r="Q6" s="140"/>
      <c r="S6" s="140"/>
      <c r="T6"/>
    </row>
    <row r="7" spans="1:20" s="1" customFormat="1" ht="5.0999999999999996" customHeight="1">
      <c r="A7" s="12"/>
      <c r="B7" s="8"/>
      <c r="C7" s="4"/>
      <c r="D7" s="55"/>
      <c r="E7" s="57"/>
      <c r="F7" s="4"/>
      <c r="G7" s="58"/>
      <c r="H7" s="4"/>
      <c r="I7" s="58"/>
      <c r="J7" s="4"/>
      <c r="K7" s="128"/>
      <c r="L7" s="128"/>
      <c r="M7" s="151"/>
      <c r="O7" s="63"/>
      <c r="Q7" s="141"/>
      <c r="S7" s="141"/>
      <c r="T7" s="141"/>
    </row>
    <row r="8" spans="1:20" s="1" customFormat="1" ht="24" customHeight="1">
      <c r="A8" s="13"/>
      <c r="B8" s="8"/>
      <c r="C8" s="4"/>
      <c r="D8" s="42" t="s">
        <v>7</v>
      </c>
      <c r="E8" s="59" t="s">
        <v>8</v>
      </c>
      <c r="F8" s="4"/>
      <c r="G8" s="60" t="s">
        <v>191</v>
      </c>
      <c r="H8" s="4"/>
      <c r="I8" s="60" t="s">
        <v>237</v>
      </c>
      <c r="J8" s="4"/>
      <c r="K8" s="129" t="s">
        <v>39</v>
      </c>
      <c r="L8" s="129" t="s">
        <v>43</v>
      </c>
      <c r="M8" s="152" t="s">
        <v>48</v>
      </c>
      <c r="O8" s="64" t="s">
        <v>182</v>
      </c>
      <c r="Q8" s="142" t="s">
        <v>192</v>
      </c>
      <c r="S8" s="142" t="s">
        <v>252</v>
      </c>
      <c r="T8" s="142" t="s">
        <v>251</v>
      </c>
    </row>
    <row r="9" spans="1:20" s="1" customFormat="1" ht="16.5" customHeight="1">
      <c r="A9" s="231"/>
      <c r="B9" s="8"/>
      <c r="C9" s="4"/>
      <c r="D9" s="44">
        <v>1</v>
      </c>
      <c r="E9" s="48" t="s">
        <v>10</v>
      </c>
      <c r="F9" s="4"/>
      <c r="G9" s="61" t="s">
        <v>254</v>
      </c>
      <c r="H9" s="4"/>
      <c r="I9" s="61" t="s">
        <v>37</v>
      </c>
      <c r="J9" s="4"/>
      <c r="K9" s="130" t="s">
        <v>197</v>
      </c>
      <c r="L9" s="130" t="s">
        <v>198</v>
      </c>
      <c r="M9" s="153" t="s">
        <v>199</v>
      </c>
      <c r="O9" s="65" t="s">
        <v>217</v>
      </c>
      <c r="Q9" s="143" t="s">
        <v>88</v>
      </c>
      <c r="S9" s="143">
        <v>10000</v>
      </c>
      <c r="T9" s="143">
        <v>166396.76</v>
      </c>
    </row>
    <row r="10" spans="1:20" s="1" customFormat="1" ht="16.5" customHeight="1">
      <c r="A10" s="231"/>
      <c r="B10" s="8"/>
      <c r="C10" s="4"/>
      <c r="D10" s="44">
        <v>2</v>
      </c>
      <c r="E10" s="48" t="s">
        <v>11</v>
      </c>
      <c r="F10" s="4"/>
      <c r="G10" s="61" t="s">
        <v>256</v>
      </c>
      <c r="H10" s="4"/>
      <c r="I10" s="61" t="s">
        <v>38</v>
      </c>
      <c r="J10" s="4"/>
      <c r="K10" s="130" t="s">
        <v>200</v>
      </c>
      <c r="L10" s="130" t="s">
        <v>201</v>
      </c>
      <c r="M10" s="153" t="s">
        <v>202</v>
      </c>
      <c r="O10" s="65" t="s">
        <v>77</v>
      </c>
      <c r="Q10" s="143" t="s">
        <v>85</v>
      </c>
      <c r="S10" s="143"/>
      <c r="T10" s="143"/>
    </row>
    <row r="11" spans="1:20" s="1" customFormat="1" ht="16.5" customHeight="1">
      <c r="A11" s="225"/>
      <c r="B11" s="8"/>
      <c r="C11" s="4"/>
      <c r="D11" s="44">
        <v>3</v>
      </c>
      <c r="E11" s="48"/>
      <c r="F11" s="4"/>
      <c r="G11" s="61" t="s">
        <v>258</v>
      </c>
      <c r="H11" s="4"/>
      <c r="I11" s="61"/>
      <c r="J11" s="4"/>
      <c r="K11" s="130" t="s">
        <v>203</v>
      </c>
      <c r="L11" s="130" t="s">
        <v>204</v>
      </c>
      <c r="M11" s="153" t="s">
        <v>205</v>
      </c>
      <c r="O11" s="65" t="s">
        <v>110</v>
      </c>
      <c r="Q11" s="143" t="s">
        <v>87</v>
      </c>
      <c r="S11" s="143"/>
      <c r="T11" s="143"/>
    </row>
    <row r="12" spans="1:20" s="1" customFormat="1" ht="16.5" customHeight="1">
      <c r="A12" s="225"/>
      <c r="B12" s="8"/>
      <c r="C12" s="4"/>
      <c r="D12" s="44">
        <v>4</v>
      </c>
      <c r="E12" s="48"/>
      <c r="F12" s="4"/>
      <c r="G12" s="61" t="s">
        <v>31</v>
      </c>
      <c r="H12" s="4"/>
      <c r="I12" s="61"/>
      <c r="J12" s="4"/>
      <c r="K12" s="130" t="s">
        <v>206</v>
      </c>
      <c r="L12" s="130" t="s">
        <v>207</v>
      </c>
      <c r="M12" s="153" t="s">
        <v>208</v>
      </c>
      <c r="O12" s="65" t="s">
        <v>114</v>
      </c>
      <c r="Q12" s="143" t="s">
        <v>86</v>
      </c>
      <c r="S12" s="143"/>
      <c r="T12" s="143"/>
    </row>
    <row r="13" spans="1:20" s="1" customFormat="1" ht="16.5" customHeight="1">
      <c r="A13" s="3"/>
      <c r="B13" s="8"/>
      <c r="C13" s="4"/>
      <c r="D13" s="44">
        <v>5</v>
      </c>
      <c r="E13" s="48"/>
      <c r="F13" s="4"/>
      <c r="G13" s="61" t="s">
        <v>32</v>
      </c>
      <c r="H13" s="4"/>
      <c r="I13" s="61"/>
      <c r="J13" s="4"/>
      <c r="K13" s="130" t="s">
        <v>209</v>
      </c>
      <c r="L13" s="130" t="s">
        <v>204</v>
      </c>
      <c r="M13" s="153" t="s">
        <v>210</v>
      </c>
      <c r="O13" s="65" t="s">
        <v>123</v>
      </c>
      <c r="Q13" s="143" t="s">
        <v>90</v>
      </c>
      <c r="S13" s="143"/>
      <c r="T13" s="143"/>
    </row>
    <row r="14" spans="1:20" s="1" customFormat="1" ht="16.5" customHeight="1">
      <c r="A14" s="3"/>
      <c r="B14" s="8"/>
      <c r="C14" s="4"/>
      <c r="D14" s="44">
        <v>6</v>
      </c>
      <c r="E14" s="48"/>
      <c r="F14" s="4"/>
      <c r="G14" s="61" t="s">
        <v>33</v>
      </c>
      <c r="H14" s="4"/>
      <c r="I14" s="61"/>
      <c r="J14" s="4"/>
      <c r="K14" s="130" t="s">
        <v>211</v>
      </c>
      <c r="L14" s="130" t="s">
        <v>212</v>
      </c>
      <c r="M14" s="153" t="s">
        <v>213</v>
      </c>
      <c r="O14" s="65" t="s">
        <v>126</v>
      </c>
      <c r="Q14" s="143" t="s">
        <v>193</v>
      </c>
      <c r="S14" s="143"/>
      <c r="T14" s="143"/>
    </row>
    <row r="15" spans="1:20" s="1" customFormat="1" ht="16.5" customHeight="1">
      <c r="B15" s="8"/>
      <c r="D15" s="44">
        <v>7</v>
      </c>
      <c r="E15" s="48"/>
      <c r="G15" s="61" t="s">
        <v>34</v>
      </c>
      <c r="I15" s="61"/>
      <c r="K15" s="130" t="s">
        <v>214</v>
      </c>
      <c r="L15" s="130" t="s">
        <v>215</v>
      </c>
      <c r="M15" s="153" t="s">
        <v>216</v>
      </c>
      <c r="O15" s="65"/>
      <c r="Q15" s="143" t="s">
        <v>83</v>
      </c>
      <c r="S15" s="143"/>
      <c r="T15" s="143"/>
    </row>
    <row r="16" spans="1:20" s="1" customFormat="1" ht="16.5" customHeight="1">
      <c r="B16" s="8"/>
      <c r="D16" s="44">
        <v>8</v>
      </c>
      <c r="E16" s="48"/>
      <c r="G16" s="61" t="s">
        <v>35</v>
      </c>
      <c r="I16" s="61"/>
      <c r="K16" s="130"/>
      <c r="L16" s="130"/>
      <c r="M16" s="153"/>
      <c r="O16" s="65"/>
      <c r="Q16" s="143" t="s">
        <v>82</v>
      </c>
      <c r="S16" s="143"/>
      <c r="T16" s="143"/>
    </row>
    <row r="17" spans="2:20" s="1" customFormat="1" ht="16.5" customHeight="1">
      <c r="B17" s="8"/>
      <c r="D17" s="44">
        <v>9</v>
      </c>
      <c r="E17" s="48"/>
      <c r="G17" s="61" t="s">
        <v>36</v>
      </c>
      <c r="I17" s="61"/>
      <c r="K17" s="130"/>
      <c r="L17" s="130"/>
      <c r="M17" s="153"/>
      <c r="O17" s="65"/>
      <c r="Q17" s="143" t="s">
        <v>89</v>
      </c>
      <c r="S17" s="143"/>
      <c r="T17" s="143"/>
    </row>
    <row r="18" spans="2:20" s="1" customFormat="1" ht="16.5" customHeight="1">
      <c r="B18" s="8"/>
      <c r="D18" s="44">
        <v>10</v>
      </c>
      <c r="E18" s="48"/>
      <c r="G18" s="61" t="s">
        <v>168</v>
      </c>
      <c r="I18" s="61"/>
      <c r="K18" s="130"/>
      <c r="L18" s="130"/>
      <c r="M18" s="153"/>
      <c r="O18" s="65"/>
      <c r="Q18" s="143" t="s">
        <v>194</v>
      </c>
      <c r="S18" s="143"/>
      <c r="T18" s="143"/>
    </row>
    <row r="19" spans="2:20" s="1" customFormat="1" ht="16.5" customHeight="1">
      <c r="B19" s="8"/>
      <c r="D19" s="44">
        <v>11</v>
      </c>
      <c r="E19" s="48"/>
      <c r="G19" s="61" t="s">
        <v>167</v>
      </c>
      <c r="I19" s="61"/>
      <c r="K19" s="130"/>
      <c r="L19" s="130"/>
      <c r="M19" s="153"/>
      <c r="O19" s="65"/>
      <c r="Q19" s="143"/>
      <c r="S19" s="143"/>
      <c r="T19" s="143"/>
    </row>
    <row r="20" spans="2:20" s="1" customFormat="1" ht="16.5" customHeight="1">
      <c r="B20" s="8"/>
      <c r="D20" s="44">
        <v>12</v>
      </c>
      <c r="E20" s="48"/>
      <c r="G20" s="48" t="s">
        <v>10</v>
      </c>
      <c r="I20" s="61"/>
      <c r="K20" s="130"/>
      <c r="L20" s="130"/>
      <c r="M20" s="153"/>
      <c r="O20" s="65"/>
      <c r="Q20" s="143"/>
      <c r="S20" s="143"/>
      <c r="T20" s="143"/>
    </row>
    <row r="21" spans="2:20" s="1" customFormat="1" ht="16.5" customHeight="1">
      <c r="B21" s="8"/>
      <c r="D21" s="44">
        <v>13</v>
      </c>
      <c r="E21" s="48"/>
      <c r="G21" s="48" t="s">
        <v>11</v>
      </c>
      <c r="I21" s="61"/>
      <c r="K21" s="130"/>
      <c r="L21" s="130"/>
      <c r="M21" s="153"/>
      <c r="O21" s="65"/>
      <c r="Q21" s="143"/>
      <c r="S21" s="143"/>
      <c r="T21" s="143"/>
    </row>
    <row r="22" spans="2:20" s="1" customFormat="1" ht="16.5" customHeight="1">
      <c r="B22" s="8"/>
      <c r="D22" s="44">
        <v>14</v>
      </c>
      <c r="E22" s="48"/>
      <c r="G22" s="61"/>
      <c r="I22" s="61"/>
      <c r="K22" s="130"/>
      <c r="L22" s="130"/>
      <c r="M22" s="153"/>
      <c r="O22" s="65"/>
      <c r="Q22" s="143"/>
      <c r="S22" s="143"/>
      <c r="T22" s="143"/>
    </row>
    <row r="23" spans="2:20" s="1" customFormat="1" ht="16.5" customHeight="1">
      <c r="B23" s="8"/>
      <c r="D23" s="44">
        <v>15</v>
      </c>
      <c r="E23" s="48"/>
      <c r="G23" s="61"/>
      <c r="I23" s="61"/>
      <c r="K23" s="130"/>
      <c r="L23" s="130"/>
      <c r="M23" s="153"/>
      <c r="O23" s="65"/>
      <c r="Q23" s="143"/>
      <c r="S23" s="143"/>
      <c r="T23" s="143"/>
    </row>
    <row r="24" spans="2:20" s="1" customFormat="1" ht="16.5" customHeight="1">
      <c r="B24" s="8"/>
      <c r="D24" s="44">
        <v>16</v>
      </c>
      <c r="E24" s="48"/>
      <c r="G24" s="61"/>
      <c r="I24" s="61"/>
      <c r="K24" s="130"/>
      <c r="L24" s="130"/>
      <c r="M24" s="153"/>
      <c r="O24" s="65"/>
      <c r="Q24" s="143"/>
      <c r="S24" s="143"/>
      <c r="T24" s="143"/>
    </row>
    <row r="25" spans="2:20" s="1" customFormat="1" ht="16.5" customHeight="1">
      <c r="B25" s="8"/>
      <c r="D25" s="44">
        <v>17</v>
      </c>
      <c r="E25" s="48"/>
      <c r="G25" s="61"/>
      <c r="I25" s="61"/>
      <c r="K25" s="130"/>
      <c r="L25" s="130"/>
      <c r="M25" s="153"/>
      <c r="O25" s="65"/>
      <c r="Q25" s="143"/>
      <c r="S25" s="143"/>
      <c r="T25" s="143"/>
    </row>
    <row r="26" spans="2:20" s="1" customFormat="1" ht="16.5" customHeight="1">
      <c r="B26" s="8"/>
      <c r="D26" s="44">
        <v>18</v>
      </c>
      <c r="E26" s="48"/>
      <c r="G26" s="61"/>
      <c r="I26" s="61"/>
      <c r="K26" s="130"/>
      <c r="L26" s="130"/>
      <c r="M26" s="153"/>
      <c r="O26" s="65"/>
      <c r="Q26" s="143"/>
      <c r="S26" s="143"/>
      <c r="T26" s="143"/>
    </row>
    <row r="27" spans="2:20" s="1" customFormat="1" ht="16.5" customHeight="1">
      <c r="B27" s="8"/>
      <c r="D27" s="44">
        <v>19</v>
      </c>
      <c r="E27" s="48"/>
      <c r="G27" s="61"/>
      <c r="I27" s="61"/>
      <c r="K27" s="130"/>
      <c r="L27" s="130"/>
      <c r="M27" s="153"/>
      <c r="O27" s="65"/>
      <c r="Q27" s="143"/>
      <c r="S27" s="143"/>
      <c r="T27" s="143"/>
    </row>
    <row r="28" spans="2:20" s="1" customFormat="1" ht="16.5" customHeight="1">
      <c r="B28" s="8"/>
      <c r="D28" s="44">
        <v>20</v>
      </c>
      <c r="E28" s="48"/>
      <c r="G28" s="61"/>
      <c r="I28" s="61"/>
      <c r="K28" s="130"/>
      <c r="L28" s="130"/>
      <c r="M28" s="153"/>
      <c r="O28" s="65"/>
      <c r="Q28" s="143"/>
      <c r="S28" s="143"/>
      <c r="T28" s="143"/>
    </row>
    <row r="29" spans="2:20" s="1" customFormat="1" ht="16.5" customHeight="1">
      <c r="B29" s="8"/>
      <c r="D29" s="44">
        <v>21</v>
      </c>
      <c r="E29" s="48"/>
      <c r="G29" s="61"/>
      <c r="I29" s="61"/>
      <c r="K29" s="130"/>
      <c r="L29" s="130"/>
      <c r="M29" s="153"/>
      <c r="O29" s="65"/>
      <c r="Q29" s="143"/>
      <c r="S29" s="143"/>
      <c r="T29" s="143"/>
    </row>
    <row r="30" spans="2:20" s="1" customFormat="1" ht="16.5" customHeight="1">
      <c r="K30" s="131"/>
      <c r="L30" s="131"/>
      <c r="M30" s="154"/>
      <c r="O30" s="120"/>
      <c r="Q30" s="144"/>
      <c r="S30" s="144"/>
      <c r="T30" s="144"/>
    </row>
    <row r="31" spans="2:20" s="1" customFormat="1" ht="16.5" customHeight="1">
      <c r="K31" s="131"/>
      <c r="L31" s="131"/>
      <c r="M31" s="154"/>
      <c r="O31" s="120"/>
      <c r="Q31" s="144"/>
      <c r="S31" s="144"/>
      <c r="T31" s="144"/>
    </row>
    <row r="32" spans="2:20" s="1" customFormat="1" ht="16.5" customHeight="1">
      <c r="K32" s="131"/>
      <c r="L32" s="131"/>
      <c r="M32" s="154"/>
      <c r="O32" s="120"/>
      <c r="Q32" s="144"/>
      <c r="S32" s="144"/>
      <c r="T32" s="144"/>
    </row>
    <row r="33" spans="11:20" s="1" customFormat="1" ht="16.5" customHeight="1">
      <c r="K33" s="131"/>
      <c r="L33" s="131"/>
      <c r="M33" s="154"/>
      <c r="O33" s="120"/>
      <c r="Q33" s="144"/>
      <c r="S33" s="144"/>
      <c r="T33" s="144"/>
    </row>
    <row r="34" spans="11:20" s="1" customFormat="1" ht="16.5" customHeight="1">
      <c r="K34" s="131"/>
      <c r="L34" s="131"/>
      <c r="M34" s="154"/>
      <c r="O34" s="120"/>
      <c r="Q34" s="144"/>
      <c r="S34" s="144"/>
      <c r="T34" s="144"/>
    </row>
    <row r="35" spans="11:20" s="1" customFormat="1" ht="17.100000000000001" customHeight="1">
      <c r="K35" s="131"/>
      <c r="L35" s="131"/>
      <c r="M35" s="154"/>
      <c r="O35" s="120"/>
      <c r="Q35" s="144"/>
      <c r="S35" s="144"/>
      <c r="T35" s="144"/>
    </row>
    <row r="36" spans="11:20" s="1" customFormat="1" ht="17.100000000000001" customHeight="1">
      <c r="K36" s="131"/>
      <c r="L36" s="131"/>
      <c r="M36" s="154"/>
      <c r="O36" s="120"/>
      <c r="Q36" s="144"/>
      <c r="S36" s="144"/>
      <c r="T36" s="144"/>
    </row>
    <row r="37" spans="11:20" s="1" customFormat="1" ht="17.100000000000001" customHeight="1">
      <c r="K37" s="131"/>
      <c r="L37" s="131"/>
      <c r="M37" s="154"/>
      <c r="O37" s="120"/>
      <c r="Q37" s="144"/>
      <c r="S37" s="144"/>
      <c r="T37" s="144"/>
    </row>
    <row r="38" spans="11:20" s="1" customFormat="1" ht="17.100000000000001" customHeight="1">
      <c r="K38" s="131"/>
      <c r="L38" s="131"/>
      <c r="M38" s="154"/>
      <c r="O38" s="120"/>
      <c r="Q38" s="144"/>
      <c r="S38" s="144"/>
      <c r="T38" s="144"/>
    </row>
    <row r="39" spans="11:20" s="1" customFormat="1" ht="17.100000000000001" customHeight="1">
      <c r="K39" s="131"/>
      <c r="L39" s="131"/>
      <c r="M39" s="154"/>
      <c r="O39" s="120"/>
      <c r="Q39" s="144"/>
      <c r="S39" s="144"/>
      <c r="T39" s="144"/>
    </row>
    <row r="40" spans="11:20" s="1" customFormat="1" ht="17.100000000000001" customHeight="1">
      <c r="K40" s="131"/>
      <c r="L40" s="131"/>
      <c r="M40" s="154"/>
      <c r="O40" s="120"/>
      <c r="Q40" s="144"/>
      <c r="S40" s="144"/>
      <c r="T40" s="144"/>
    </row>
    <row r="41" spans="11:20" s="1" customFormat="1" ht="17.100000000000001" customHeight="1">
      <c r="K41" s="131"/>
      <c r="L41" s="131"/>
      <c r="M41" s="154"/>
      <c r="O41" s="120"/>
      <c r="Q41" s="144"/>
      <c r="S41" s="144"/>
      <c r="T41" s="144"/>
    </row>
    <row r="42" spans="11:20" s="1" customFormat="1" ht="17.100000000000001" customHeight="1">
      <c r="K42" s="131"/>
      <c r="L42" s="131"/>
      <c r="M42" s="154"/>
      <c r="O42" s="120"/>
      <c r="Q42" s="144"/>
      <c r="S42" s="144"/>
      <c r="T42" s="144"/>
    </row>
    <row r="43" spans="11:20" s="1" customFormat="1" ht="17.100000000000001" customHeight="1">
      <c r="K43" s="131"/>
      <c r="L43" s="131"/>
      <c r="M43" s="154"/>
      <c r="O43" s="120"/>
      <c r="Q43" s="144"/>
      <c r="S43" s="144"/>
      <c r="T43" s="144"/>
    </row>
    <row r="44" spans="11:20" s="1" customFormat="1" ht="17.100000000000001" customHeight="1">
      <c r="K44" s="131"/>
      <c r="L44" s="131"/>
      <c r="M44" s="154"/>
      <c r="O44" s="120"/>
      <c r="Q44" s="144"/>
      <c r="S44" s="144"/>
      <c r="T44" s="144"/>
    </row>
    <row r="45" spans="11:20" s="1" customFormat="1" ht="17.100000000000001" customHeight="1">
      <c r="K45" s="131"/>
      <c r="L45" s="131"/>
      <c r="M45" s="154"/>
      <c r="O45" s="120"/>
      <c r="Q45" s="144"/>
      <c r="S45" s="144"/>
      <c r="T45" s="144"/>
    </row>
    <row r="46" spans="11:20" s="1" customFormat="1" ht="17.100000000000001" customHeight="1">
      <c r="K46" s="131"/>
      <c r="L46" s="131"/>
      <c r="M46" s="154"/>
      <c r="O46" s="120"/>
      <c r="Q46" s="144"/>
      <c r="S46" s="144"/>
      <c r="T46" s="144"/>
    </row>
    <row r="47" spans="11:20" s="1" customFormat="1" ht="17.100000000000001" customHeight="1">
      <c r="K47" s="131"/>
      <c r="L47" s="131"/>
      <c r="M47" s="154"/>
      <c r="O47" s="120"/>
      <c r="Q47" s="144"/>
      <c r="S47" s="144"/>
      <c r="T47" s="144"/>
    </row>
    <row r="48" spans="11:20" s="1" customFormat="1" ht="17.100000000000001" customHeight="1">
      <c r="K48" s="131"/>
      <c r="L48" s="131"/>
      <c r="M48" s="154"/>
      <c r="O48" s="120"/>
      <c r="Q48" s="144"/>
      <c r="S48" s="144"/>
      <c r="T48" s="144"/>
    </row>
    <row r="49" spans="11:20" s="1" customFormat="1" ht="17.100000000000001" customHeight="1">
      <c r="K49" s="131"/>
      <c r="L49" s="131"/>
      <c r="M49" s="154"/>
      <c r="O49" s="120"/>
      <c r="Q49" s="144"/>
      <c r="S49" s="144"/>
      <c r="T49" s="144"/>
    </row>
    <row r="50" spans="11:20" s="1" customFormat="1" ht="17.100000000000001" customHeight="1">
      <c r="K50" s="131"/>
      <c r="L50" s="131"/>
      <c r="M50" s="154"/>
      <c r="O50" s="120"/>
      <c r="Q50" s="144"/>
      <c r="S50" s="144"/>
      <c r="T50" s="144"/>
    </row>
    <row r="51" spans="11:20" s="1" customFormat="1" ht="17.100000000000001" customHeight="1">
      <c r="K51" s="131"/>
      <c r="L51" s="131"/>
      <c r="M51" s="154"/>
      <c r="O51" s="120"/>
      <c r="Q51" s="144"/>
      <c r="S51" s="144"/>
      <c r="T51" s="144"/>
    </row>
    <row r="52" spans="11:20" s="1" customFormat="1" ht="17.100000000000001" customHeight="1">
      <c r="K52" s="131"/>
      <c r="L52" s="131"/>
      <c r="M52" s="154"/>
      <c r="O52" s="120"/>
      <c r="Q52" s="144"/>
      <c r="S52" s="144"/>
      <c r="T52" s="144"/>
    </row>
    <row r="53" spans="11:20" s="1" customFormat="1" ht="17.100000000000001" customHeight="1">
      <c r="K53" s="131"/>
      <c r="L53" s="131"/>
      <c r="M53" s="154"/>
      <c r="O53" s="120"/>
      <c r="Q53" s="144"/>
      <c r="S53" s="144"/>
      <c r="T53" s="144"/>
    </row>
    <row r="54" spans="11:20" s="1" customFormat="1" ht="17.100000000000001" customHeight="1">
      <c r="K54" s="131"/>
      <c r="L54" s="131"/>
      <c r="M54" s="154"/>
      <c r="O54" s="120"/>
      <c r="Q54" s="144"/>
      <c r="S54" s="144"/>
      <c r="T54" s="144"/>
    </row>
    <row r="55" spans="11:20" s="1" customFormat="1" ht="17.100000000000001" customHeight="1">
      <c r="K55" s="131"/>
      <c r="L55" s="131"/>
      <c r="M55" s="154"/>
      <c r="O55" s="120"/>
      <c r="Q55" s="144"/>
      <c r="S55" s="144"/>
      <c r="T55" s="144"/>
    </row>
    <row r="56" spans="11:20" s="1" customFormat="1" ht="17.100000000000001" customHeight="1">
      <c r="K56" s="131"/>
      <c r="L56" s="131"/>
      <c r="M56" s="154"/>
      <c r="O56" s="120"/>
      <c r="Q56" s="144"/>
      <c r="S56" s="144"/>
      <c r="T56" s="144"/>
    </row>
    <row r="57" spans="11:20" s="1" customFormat="1" ht="17.100000000000001" customHeight="1">
      <c r="K57" s="131"/>
      <c r="L57" s="131"/>
      <c r="M57" s="154"/>
      <c r="O57" s="120"/>
      <c r="Q57" s="144"/>
      <c r="S57" s="144"/>
      <c r="T57" s="144"/>
    </row>
    <row r="58" spans="11:20" s="1" customFormat="1" ht="17.100000000000001" customHeight="1">
      <c r="K58" s="131"/>
      <c r="L58" s="131"/>
      <c r="M58" s="154"/>
      <c r="O58" s="120"/>
      <c r="Q58" s="144"/>
      <c r="S58" s="144"/>
      <c r="T58" s="144"/>
    </row>
    <row r="59" spans="11:20" s="1" customFormat="1" ht="17.100000000000001" customHeight="1">
      <c r="K59" s="131"/>
      <c r="L59" s="131"/>
      <c r="M59" s="154"/>
      <c r="O59" s="120"/>
      <c r="Q59" s="144"/>
      <c r="S59" s="144"/>
      <c r="T59" s="144"/>
    </row>
    <row r="60" spans="11:20" s="1" customFormat="1" ht="17.100000000000001" customHeight="1">
      <c r="K60" s="131"/>
      <c r="L60" s="131"/>
      <c r="M60" s="154"/>
      <c r="O60" s="120"/>
      <c r="Q60" s="144"/>
      <c r="S60" s="144"/>
      <c r="T60" s="144"/>
    </row>
    <row r="61" spans="11:20" s="1" customFormat="1" ht="17.100000000000001" customHeight="1">
      <c r="K61" s="131"/>
      <c r="L61" s="131"/>
      <c r="M61" s="154"/>
      <c r="O61" s="120"/>
      <c r="Q61" s="144"/>
      <c r="S61" s="144"/>
      <c r="T61" s="144"/>
    </row>
    <row r="62" spans="11:20" s="1" customFormat="1" ht="17.100000000000001" customHeight="1">
      <c r="K62" s="131"/>
      <c r="L62" s="131"/>
      <c r="M62" s="154"/>
      <c r="O62" s="120"/>
      <c r="Q62" s="144"/>
      <c r="S62" s="144"/>
      <c r="T62" s="144"/>
    </row>
    <row r="63" spans="11:20" s="1" customFormat="1" ht="17.100000000000001" customHeight="1">
      <c r="K63" s="131"/>
      <c r="L63" s="131"/>
      <c r="M63" s="154"/>
      <c r="O63" s="120"/>
      <c r="Q63" s="144"/>
      <c r="S63" s="144"/>
      <c r="T63" s="144"/>
    </row>
    <row r="64" spans="11:20" s="1" customFormat="1" ht="17.100000000000001" customHeight="1">
      <c r="K64" s="131"/>
      <c r="L64" s="131"/>
      <c r="M64" s="154"/>
      <c r="O64" s="120"/>
      <c r="Q64" s="144"/>
      <c r="S64" s="144"/>
      <c r="T64" s="144"/>
    </row>
    <row r="65" spans="11:20" s="1" customFormat="1" ht="17.100000000000001" customHeight="1">
      <c r="K65" s="131"/>
      <c r="L65" s="131"/>
      <c r="M65" s="154"/>
      <c r="O65" s="120"/>
      <c r="Q65" s="144"/>
      <c r="S65" s="144"/>
      <c r="T65" s="144"/>
    </row>
    <row r="66" spans="11:20" s="1" customFormat="1" ht="17.100000000000001" customHeight="1">
      <c r="K66" s="131"/>
      <c r="L66" s="131"/>
      <c r="M66" s="154"/>
      <c r="O66" s="120"/>
      <c r="Q66" s="144"/>
      <c r="S66" s="144"/>
      <c r="T66" s="144"/>
    </row>
    <row r="67" spans="11:20" s="1" customFormat="1" ht="17.100000000000001" customHeight="1">
      <c r="K67" s="131"/>
      <c r="L67" s="131"/>
      <c r="M67" s="154"/>
      <c r="O67" s="120"/>
      <c r="Q67" s="144"/>
      <c r="S67" s="144"/>
      <c r="T67" s="144"/>
    </row>
    <row r="68" spans="11:20" s="1" customFormat="1" ht="17.100000000000001" customHeight="1">
      <c r="K68" s="131"/>
      <c r="L68" s="131"/>
      <c r="M68" s="154"/>
      <c r="O68" s="120"/>
      <c r="Q68" s="144"/>
      <c r="S68" s="144"/>
      <c r="T68" s="144"/>
    </row>
    <row r="69" spans="11:20" s="1" customFormat="1" ht="17.100000000000001" customHeight="1">
      <c r="K69" s="131"/>
      <c r="L69" s="131"/>
      <c r="M69" s="154"/>
      <c r="O69" s="120"/>
      <c r="Q69" s="144"/>
      <c r="S69" s="144"/>
      <c r="T69" s="144"/>
    </row>
    <row r="70" spans="11:20" s="1" customFormat="1" ht="17.100000000000001" customHeight="1">
      <c r="K70" s="131"/>
      <c r="L70" s="131"/>
      <c r="M70" s="154"/>
      <c r="O70" s="120"/>
      <c r="Q70" s="144"/>
      <c r="S70" s="144"/>
      <c r="T70" s="144"/>
    </row>
    <row r="71" spans="11:20" s="1" customFormat="1" ht="17.100000000000001" customHeight="1">
      <c r="K71" s="131"/>
      <c r="L71" s="131"/>
      <c r="M71" s="154"/>
      <c r="O71" s="120"/>
      <c r="Q71" s="144"/>
      <c r="S71" s="144"/>
      <c r="T71" s="144"/>
    </row>
    <row r="72" spans="11:20" s="1" customFormat="1" ht="17.100000000000001" customHeight="1">
      <c r="K72" s="131"/>
      <c r="L72" s="131"/>
      <c r="M72" s="154"/>
      <c r="O72" s="120"/>
      <c r="Q72" s="144"/>
      <c r="S72" s="144"/>
      <c r="T72" s="144"/>
    </row>
    <row r="73" spans="11:20" s="1" customFormat="1" ht="17.100000000000001" customHeight="1">
      <c r="K73" s="131"/>
      <c r="L73" s="131"/>
      <c r="M73" s="154"/>
      <c r="O73" s="120"/>
      <c r="Q73" s="144"/>
      <c r="S73" s="144"/>
      <c r="T73" s="144"/>
    </row>
    <row r="74" spans="11:20" s="1" customFormat="1" ht="17.100000000000001" customHeight="1">
      <c r="K74" s="131"/>
      <c r="L74" s="131"/>
      <c r="M74" s="154"/>
      <c r="O74" s="120"/>
      <c r="Q74" s="144"/>
      <c r="S74" s="144"/>
      <c r="T74" s="144"/>
    </row>
    <row r="75" spans="11:20" s="1" customFormat="1" ht="17.100000000000001" customHeight="1">
      <c r="K75" s="131"/>
      <c r="L75" s="131"/>
      <c r="M75" s="154"/>
      <c r="O75" s="120"/>
      <c r="Q75" s="144"/>
      <c r="S75" s="144"/>
      <c r="T75" s="144"/>
    </row>
    <row r="76" spans="11:20" s="1" customFormat="1" ht="17.100000000000001" customHeight="1">
      <c r="K76" s="131"/>
      <c r="L76" s="131"/>
      <c r="M76" s="154"/>
      <c r="O76" s="120"/>
      <c r="Q76" s="144"/>
      <c r="S76" s="144"/>
      <c r="T76" s="144"/>
    </row>
    <row r="77" spans="11:20" s="1" customFormat="1" ht="17.100000000000001" customHeight="1">
      <c r="K77" s="131"/>
      <c r="L77" s="131"/>
      <c r="M77" s="154"/>
      <c r="O77" s="120"/>
      <c r="Q77" s="144"/>
      <c r="S77" s="144"/>
      <c r="T77" s="144"/>
    </row>
    <row r="78" spans="11:20" s="1" customFormat="1" ht="17.100000000000001" customHeight="1">
      <c r="K78" s="131"/>
      <c r="L78" s="131"/>
      <c r="M78" s="154"/>
      <c r="O78" s="120"/>
      <c r="Q78" s="144"/>
      <c r="S78" s="144"/>
      <c r="T78" s="144"/>
    </row>
    <row r="79" spans="11:20" s="1" customFormat="1" ht="17.100000000000001" customHeight="1">
      <c r="K79" s="131"/>
      <c r="L79" s="131"/>
      <c r="M79" s="154"/>
      <c r="O79" s="120"/>
      <c r="Q79" s="144"/>
      <c r="S79" s="144"/>
      <c r="T79" s="144"/>
    </row>
    <row r="80" spans="11:20" s="1" customFormat="1" ht="17.100000000000001" customHeight="1">
      <c r="K80" s="131"/>
      <c r="L80" s="131"/>
      <c r="M80" s="154"/>
      <c r="O80" s="120"/>
      <c r="Q80" s="144"/>
      <c r="S80" s="144"/>
      <c r="T80" s="144"/>
    </row>
    <row r="81" spans="11:20" s="1" customFormat="1" ht="17.100000000000001" customHeight="1">
      <c r="K81" s="131"/>
      <c r="L81" s="131"/>
      <c r="M81" s="154"/>
      <c r="O81" s="120"/>
      <c r="Q81" s="144"/>
      <c r="S81" s="144"/>
      <c r="T81" s="144"/>
    </row>
    <row r="82" spans="11:20" s="1" customFormat="1" ht="17.100000000000001" customHeight="1">
      <c r="K82" s="131"/>
      <c r="L82" s="131"/>
      <c r="M82" s="154"/>
      <c r="O82" s="120"/>
      <c r="Q82" s="144"/>
      <c r="S82" s="144"/>
      <c r="T82" s="144"/>
    </row>
    <row r="83" spans="11:20" s="1" customFormat="1" ht="17.100000000000001" customHeight="1">
      <c r="K83" s="131"/>
      <c r="L83" s="131"/>
      <c r="M83" s="154"/>
      <c r="O83" s="120"/>
      <c r="Q83" s="144"/>
      <c r="S83" s="144"/>
      <c r="T83" s="144"/>
    </row>
    <row r="84" spans="11:20" s="1" customFormat="1" ht="17.100000000000001" customHeight="1">
      <c r="K84" s="131"/>
      <c r="L84" s="131"/>
      <c r="M84" s="154"/>
      <c r="O84" s="120"/>
      <c r="Q84" s="144"/>
      <c r="S84" s="144"/>
      <c r="T84" s="144"/>
    </row>
    <row r="85" spans="11:20" s="1" customFormat="1" ht="17.100000000000001" customHeight="1">
      <c r="K85" s="131"/>
      <c r="L85" s="131"/>
      <c r="M85" s="154"/>
      <c r="O85" s="120"/>
      <c r="Q85" s="144"/>
      <c r="S85" s="144"/>
      <c r="T85" s="144"/>
    </row>
    <row r="86" spans="11:20" s="1" customFormat="1" ht="17.100000000000001" customHeight="1">
      <c r="K86" s="131"/>
      <c r="L86" s="131"/>
      <c r="M86" s="154"/>
      <c r="O86" s="120"/>
      <c r="Q86" s="144"/>
      <c r="S86" s="144"/>
      <c r="T86" s="144"/>
    </row>
    <row r="87" spans="11:20" s="1" customFormat="1" ht="17.100000000000001" customHeight="1">
      <c r="K87" s="131"/>
      <c r="L87" s="131"/>
      <c r="M87" s="154"/>
      <c r="O87" s="120"/>
      <c r="Q87" s="144"/>
      <c r="S87" s="144"/>
      <c r="T87" s="144"/>
    </row>
    <row r="88" spans="11:20" s="1" customFormat="1" ht="17.100000000000001" customHeight="1">
      <c r="K88" s="131"/>
      <c r="L88" s="131"/>
      <c r="M88" s="154"/>
      <c r="O88" s="120"/>
      <c r="Q88" s="144"/>
      <c r="S88" s="144"/>
      <c r="T88" s="144"/>
    </row>
    <row r="89" spans="11:20" s="1" customFormat="1" ht="17.100000000000001" customHeight="1">
      <c r="K89" s="131"/>
      <c r="L89" s="131"/>
      <c r="M89" s="154"/>
      <c r="O89" s="120"/>
      <c r="Q89" s="144"/>
      <c r="S89" s="144"/>
      <c r="T89" s="144"/>
    </row>
    <row r="90" spans="11:20" s="1" customFormat="1" ht="17.100000000000001" customHeight="1">
      <c r="K90" s="131"/>
      <c r="L90" s="131"/>
      <c r="M90" s="154"/>
      <c r="O90" s="120"/>
      <c r="Q90" s="144"/>
      <c r="S90" s="144"/>
      <c r="T90" s="144"/>
    </row>
    <row r="91" spans="11:20" s="1" customFormat="1" ht="17.100000000000001" customHeight="1">
      <c r="K91" s="131"/>
      <c r="L91" s="131"/>
      <c r="M91" s="154"/>
      <c r="O91" s="120"/>
      <c r="Q91" s="144"/>
      <c r="S91" s="144"/>
      <c r="T91" s="144"/>
    </row>
    <row r="92" spans="11:20" s="1" customFormat="1" ht="17.100000000000001" customHeight="1">
      <c r="K92" s="131"/>
      <c r="L92" s="131"/>
      <c r="M92" s="154"/>
      <c r="O92" s="120"/>
      <c r="Q92" s="144"/>
      <c r="S92" s="144"/>
      <c r="T92" s="144"/>
    </row>
    <row r="93" spans="11:20" s="1" customFormat="1" ht="17.100000000000001" customHeight="1">
      <c r="K93" s="131"/>
      <c r="L93" s="131"/>
      <c r="M93" s="154"/>
      <c r="O93" s="120"/>
      <c r="Q93" s="144"/>
      <c r="S93" s="144"/>
      <c r="T93" s="144"/>
    </row>
    <row r="94" spans="11:20" s="1" customFormat="1" ht="17.100000000000001" customHeight="1">
      <c r="K94" s="131"/>
      <c r="L94" s="131"/>
      <c r="M94" s="154"/>
      <c r="O94" s="120"/>
      <c r="Q94" s="144"/>
      <c r="S94" s="144"/>
      <c r="T94" s="144"/>
    </row>
    <row r="95" spans="11:20" s="1" customFormat="1" ht="17.100000000000001" customHeight="1">
      <c r="K95" s="131"/>
      <c r="L95" s="131"/>
      <c r="M95" s="154"/>
      <c r="O95" s="120"/>
      <c r="Q95" s="144"/>
      <c r="S95" s="144"/>
      <c r="T95" s="144"/>
    </row>
    <row r="96" spans="11:20" s="1" customFormat="1" ht="17.100000000000001" customHeight="1">
      <c r="K96" s="131"/>
      <c r="L96" s="131"/>
      <c r="M96" s="154"/>
      <c r="O96" s="120"/>
      <c r="Q96" s="144"/>
      <c r="S96" s="144"/>
      <c r="T96" s="144"/>
    </row>
    <row r="97" spans="11:20" s="1" customFormat="1" ht="17.100000000000001" customHeight="1">
      <c r="K97" s="131"/>
      <c r="L97" s="131"/>
      <c r="M97" s="154"/>
      <c r="O97" s="120"/>
      <c r="Q97" s="144"/>
      <c r="S97" s="144"/>
      <c r="T97" s="144"/>
    </row>
    <row r="98" spans="11:20" s="1" customFormat="1" ht="17.100000000000001" customHeight="1">
      <c r="K98" s="131"/>
      <c r="L98" s="131"/>
      <c r="M98" s="154"/>
      <c r="O98" s="120"/>
      <c r="Q98" s="144"/>
      <c r="S98" s="144"/>
      <c r="T98" s="144"/>
    </row>
    <row r="99" spans="11:20" s="1" customFormat="1" ht="17.100000000000001" customHeight="1">
      <c r="K99" s="131"/>
      <c r="L99" s="131"/>
      <c r="M99" s="154"/>
      <c r="O99" s="120"/>
      <c r="Q99" s="144"/>
      <c r="S99" s="144"/>
      <c r="T99" s="144"/>
    </row>
    <row r="100" spans="11:20" s="1" customFormat="1" ht="17.100000000000001" customHeight="1">
      <c r="K100" s="131"/>
      <c r="L100" s="131"/>
      <c r="M100" s="154"/>
      <c r="O100" s="120"/>
      <c r="Q100" s="144"/>
      <c r="S100" s="144"/>
      <c r="T100" s="144"/>
    </row>
    <row r="101" spans="11:20" s="1" customFormat="1" ht="17.100000000000001" customHeight="1">
      <c r="K101" s="131"/>
      <c r="L101" s="131"/>
      <c r="M101" s="154"/>
      <c r="O101" s="120"/>
      <c r="Q101" s="144"/>
      <c r="S101" s="144"/>
      <c r="T101" s="144"/>
    </row>
    <row r="102" spans="11:20" s="1" customFormat="1" ht="17.100000000000001" customHeight="1">
      <c r="K102" s="131"/>
      <c r="L102" s="131"/>
      <c r="M102" s="154"/>
      <c r="O102" s="120"/>
      <c r="Q102" s="144"/>
      <c r="S102" s="144"/>
      <c r="T102" s="144"/>
    </row>
    <row r="103" spans="11:20" s="1" customFormat="1" ht="17.100000000000001" customHeight="1">
      <c r="K103" s="131"/>
      <c r="L103" s="131"/>
      <c r="M103" s="154"/>
      <c r="O103" s="120"/>
      <c r="Q103" s="144"/>
      <c r="S103" s="144"/>
      <c r="T103" s="144"/>
    </row>
    <row r="104" spans="11:20" s="1" customFormat="1" ht="17.100000000000001" customHeight="1">
      <c r="K104" s="131"/>
      <c r="L104" s="131"/>
      <c r="M104" s="154"/>
      <c r="O104" s="120"/>
      <c r="Q104" s="144"/>
      <c r="S104" s="144"/>
      <c r="T104" s="144"/>
    </row>
    <row r="105" spans="11:20" s="1" customFormat="1" ht="17.100000000000001" customHeight="1">
      <c r="K105" s="131"/>
      <c r="L105" s="131"/>
      <c r="M105" s="154"/>
      <c r="O105" s="120"/>
      <c r="Q105" s="144"/>
      <c r="S105" s="144"/>
      <c r="T105" s="144"/>
    </row>
    <row r="106" spans="11:20" s="1" customFormat="1" ht="17.100000000000001" customHeight="1">
      <c r="K106" s="131"/>
      <c r="L106" s="131"/>
      <c r="M106" s="154"/>
      <c r="O106" s="120"/>
      <c r="Q106" s="144"/>
      <c r="S106" s="144"/>
      <c r="T106" s="144"/>
    </row>
    <row r="107" spans="11:20" s="1" customFormat="1" ht="17.100000000000001" customHeight="1">
      <c r="K107" s="131"/>
      <c r="L107" s="131"/>
      <c r="M107" s="154"/>
      <c r="O107" s="120"/>
      <c r="Q107" s="144"/>
      <c r="S107" s="144"/>
      <c r="T107" s="144"/>
    </row>
    <row r="108" spans="11:20" s="1" customFormat="1" ht="17.100000000000001" customHeight="1">
      <c r="K108" s="131"/>
      <c r="L108" s="131"/>
      <c r="M108" s="154"/>
      <c r="O108" s="120"/>
      <c r="Q108" s="144"/>
      <c r="S108" s="144"/>
      <c r="T108" s="144"/>
    </row>
    <row r="109" spans="11:20" s="1" customFormat="1" ht="17.100000000000001" customHeight="1">
      <c r="K109" s="131"/>
      <c r="L109" s="131"/>
      <c r="M109" s="154"/>
      <c r="O109" s="120"/>
      <c r="Q109" s="144"/>
      <c r="S109" s="144"/>
      <c r="T109" s="144"/>
    </row>
    <row r="110" spans="11:20" s="1" customFormat="1" ht="17.100000000000001" customHeight="1">
      <c r="K110" s="131"/>
      <c r="L110" s="131"/>
      <c r="M110" s="154"/>
      <c r="O110" s="120"/>
      <c r="Q110" s="144"/>
      <c r="S110" s="144"/>
      <c r="T110" s="144"/>
    </row>
    <row r="111" spans="11:20" s="1" customFormat="1" ht="17.100000000000001" customHeight="1">
      <c r="K111" s="131"/>
      <c r="L111" s="131"/>
      <c r="M111" s="154"/>
      <c r="O111" s="120"/>
      <c r="Q111" s="144"/>
      <c r="S111" s="144"/>
      <c r="T111" s="144"/>
    </row>
    <row r="112" spans="11:20" s="1" customFormat="1" ht="17.100000000000001" customHeight="1">
      <c r="K112" s="131"/>
      <c r="L112" s="131"/>
      <c r="M112" s="154"/>
      <c r="O112" s="120"/>
      <c r="Q112" s="144"/>
      <c r="S112" s="144"/>
      <c r="T112" s="144"/>
    </row>
    <row r="113" spans="11:20" s="1" customFormat="1" ht="17.100000000000001" customHeight="1">
      <c r="K113" s="131"/>
      <c r="L113" s="131"/>
      <c r="M113" s="154"/>
      <c r="O113" s="120"/>
      <c r="Q113" s="144"/>
      <c r="S113" s="144"/>
      <c r="T113" s="144"/>
    </row>
    <row r="114" spans="11:20" s="1" customFormat="1" ht="17.100000000000001" customHeight="1">
      <c r="K114" s="131"/>
      <c r="L114" s="131"/>
      <c r="M114" s="154"/>
      <c r="O114" s="120"/>
      <c r="Q114" s="144"/>
      <c r="S114" s="144"/>
      <c r="T114" s="144"/>
    </row>
    <row r="115" spans="11:20" s="1" customFormat="1" ht="17.100000000000001" customHeight="1">
      <c r="K115" s="131"/>
      <c r="L115" s="131"/>
      <c r="M115" s="154"/>
      <c r="O115" s="120"/>
      <c r="Q115" s="144"/>
      <c r="S115" s="144"/>
      <c r="T115" s="144"/>
    </row>
    <row r="116" spans="11:20" s="1" customFormat="1" ht="17.100000000000001" customHeight="1">
      <c r="K116" s="131"/>
      <c r="L116" s="131"/>
      <c r="M116" s="154"/>
      <c r="O116" s="120"/>
      <c r="Q116" s="144"/>
      <c r="S116" s="144"/>
      <c r="T116" s="144"/>
    </row>
    <row r="117" spans="11:20" s="1" customFormat="1" ht="17.100000000000001" customHeight="1">
      <c r="K117" s="131"/>
      <c r="L117" s="131"/>
      <c r="M117" s="154"/>
      <c r="O117" s="120"/>
      <c r="Q117" s="144"/>
      <c r="S117" s="144"/>
      <c r="T117" s="144"/>
    </row>
    <row r="118" spans="11:20" s="1" customFormat="1" ht="17.100000000000001" customHeight="1">
      <c r="K118" s="131"/>
      <c r="L118" s="131"/>
      <c r="M118" s="154"/>
      <c r="O118" s="120"/>
      <c r="Q118" s="144"/>
      <c r="S118" s="144"/>
      <c r="T118" s="144"/>
    </row>
    <row r="119" spans="11:20" s="1" customFormat="1" ht="17.100000000000001" customHeight="1">
      <c r="K119" s="131"/>
      <c r="L119" s="131"/>
      <c r="M119" s="154"/>
      <c r="O119" s="120"/>
      <c r="Q119" s="144"/>
      <c r="S119" s="144"/>
      <c r="T119" s="144"/>
    </row>
    <row r="120" spans="11:20" s="1" customFormat="1" ht="17.100000000000001" customHeight="1">
      <c r="K120" s="131"/>
      <c r="L120" s="131"/>
      <c r="M120" s="154"/>
      <c r="O120" s="120"/>
      <c r="Q120" s="144"/>
      <c r="S120" s="144"/>
      <c r="T120" s="144"/>
    </row>
    <row r="121" spans="11:20" s="1" customFormat="1" ht="17.100000000000001" customHeight="1">
      <c r="K121" s="131"/>
      <c r="L121" s="131"/>
      <c r="M121" s="154"/>
      <c r="O121" s="120"/>
      <c r="Q121" s="144"/>
      <c r="S121" s="144"/>
      <c r="T121" s="144"/>
    </row>
    <row r="122" spans="11:20" s="1" customFormat="1" ht="17.100000000000001" customHeight="1">
      <c r="K122" s="131"/>
      <c r="L122" s="131"/>
      <c r="M122" s="154"/>
      <c r="O122" s="120"/>
      <c r="Q122" s="144"/>
      <c r="S122" s="144"/>
      <c r="T122" s="144"/>
    </row>
    <row r="123" spans="11:20" s="1" customFormat="1" ht="17.100000000000001" customHeight="1">
      <c r="K123" s="131"/>
      <c r="L123" s="131"/>
      <c r="M123" s="154"/>
      <c r="O123" s="120"/>
      <c r="Q123" s="144"/>
      <c r="S123" s="144"/>
      <c r="T123" s="144"/>
    </row>
    <row r="124" spans="11:20" s="1" customFormat="1" ht="17.100000000000001" customHeight="1">
      <c r="K124" s="131"/>
      <c r="L124" s="131"/>
      <c r="M124" s="154"/>
      <c r="O124" s="120"/>
      <c r="Q124" s="144"/>
      <c r="S124" s="144"/>
      <c r="T124" s="144"/>
    </row>
    <row r="125" spans="11:20" s="1" customFormat="1" ht="17.100000000000001" customHeight="1">
      <c r="K125" s="131"/>
      <c r="L125" s="131"/>
      <c r="M125" s="154"/>
      <c r="O125" s="120"/>
      <c r="Q125" s="144"/>
      <c r="S125" s="144"/>
      <c r="T125" s="144"/>
    </row>
    <row r="126" spans="11:20" s="1" customFormat="1" ht="17.100000000000001" customHeight="1">
      <c r="K126" s="131"/>
      <c r="L126" s="131"/>
      <c r="M126" s="154"/>
      <c r="O126" s="120"/>
      <c r="Q126" s="144"/>
      <c r="S126" s="144"/>
      <c r="T126" s="144"/>
    </row>
    <row r="127" spans="11:20" s="1" customFormat="1" ht="17.100000000000001" customHeight="1">
      <c r="K127" s="131"/>
      <c r="L127" s="131"/>
      <c r="M127" s="154"/>
      <c r="O127" s="120"/>
      <c r="Q127" s="144"/>
      <c r="S127" s="144"/>
      <c r="T127" s="144"/>
    </row>
    <row r="128" spans="11:20" s="1" customFormat="1" ht="17.100000000000001" customHeight="1">
      <c r="K128" s="131"/>
      <c r="L128" s="131"/>
      <c r="M128" s="154"/>
      <c r="O128" s="120"/>
      <c r="Q128" s="144"/>
      <c r="S128" s="144"/>
      <c r="T128" s="144"/>
    </row>
    <row r="129" spans="11:20" s="1" customFormat="1" ht="17.100000000000001" customHeight="1">
      <c r="K129" s="131"/>
      <c r="L129" s="131"/>
      <c r="M129" s="154"/>
      <c r="O129" s="120"/>
      <c r="Q129" s="144"/>
      <c r="S129" s="144"/>
      <c r="T129" s="144"/>
    </row>
    <row r="130" spans="11:20" s="1" customFormat="1" ht="17.100000000000001" customHeight="1">
      <c r="K130" s="131"/>
      <c r="L130" s="131"/>
      <c r="M130" s="154"/>
      <c r="O130" s="120"/>
      <c r="Q130" s="144"/>
      <c r="S130" s="144"/>
      <c r="T130" s="144"/>
    </row>
    <row r="131" spans="11:20" s="1" customFormat="1" ht="17.100000000000001" customHeight="1">
      <c r="K131" s="131"/>
      <c r="L131" s="131"/>
      <c r="M131" s="154"/>
      <c r="O131" s="120"/>
      <c r="Q131" s="144"/>
      <c r="S131" s="144"/>
      <c r="T131" s="144"/>
    </row>
    <row r="132" spans="11:20" s="1" customFormat="1" ht="17.100000000000001" customHeight="1">
      <c r="K132" s="131"/>
      <c r="L132" s="131"/>
      <c r="M132" s="154"/>
      <c r="O132" s="120"/>
      <c r="Q132" s="144"/>
      <c r="S132" s="144"/>
      <c r="T132" s="144"/>
    </row>
    <row r="133" spans="11:20" s="1" customFormat="1" ht="17.100000000000001" customHeight="1">
      <c r="K133" s="131"/>
      <c r="L133" s="131"/>
      <c r="M133" s="154"/>
      <c r="O133" s="120"/>
      <c r="Q133" s="144"/>
      <c r="S133" s="144"/>
      <c r="T133" s="144"/>
    </row>
    <row r="134" spans="11:20" s="1" customFormat="1" ht="17.100000000000001" customHeight="1">
      <c r="K134" s="131"/>
      <c r="L134" s="131"/>
      <c r="M134" s="154"/>
      <c r="O134" s="120"/>
      <c r="Q134" s="144"/>
      <c r="S134" s="144"/>
      <c r="T134" s="144"/>
    </row>
    <row r="135" spans="11:20" s="1" customFormat="1" ht="17.100000000000001" customHeight="1">
      <c r="K135" s="131"/>
      <c r="L135" s="131"/>
      <c r="M135" s="154"/>
      <c r="O135" s="120"/>
      <c r="Q135" s="144"/>
      <c r="S135" s="144"/>
      <c r="T135" s="144"/>
    </row>
    <row r="136" spans="11:20" s="1" customFormat="1" ht="17.100000000000001" customHeight="1">
      <c r="K136" s="131"/>
      <c r="L136" s="131"/>
      <c r="M136" s="154"/>
      <c r="O136" s="120"/>
      <c r="Q136" s="144"/>
      <c r="S136" s="144"/>
      <c r="T136" s="144"/>
    </row>
    <row r="137" spans="11:20" s="1" customFormat="1" ht="17.100000000000001" customHeight="1">
      <c r="K137" s="131"/>
      <c r="L137" s="131"/>
      <c r="M137" s="154"/>
      <c r="O137" s="120"/>
      <c r="Q137" s="144"/>
      <c r="S137" s="144"/>
      <c r="T137" s="144"/>
    </row>
    <row r="138" spans="11:20" s="1" customFormat="1" ht="17.100000000000001" customHeight="1">
      <c r="K138" s="131"/>
      <c r="L138" s="131"/>
      <c r="M138" s="154"/>
      <c r="O138" s="120"/>
      <c r="Q138" s="144"/>
      <c r="S138" s="144"/>
      <c r="T138" s="144"/>
    </row>
    <row r="139" spans="11:20" s="1" customFormat="1" ht="17.100000000000001" customHeight="1">
      <c r="K139" s="131"/>
      <c r="L139" s="131"/>
      <c r="M139" s="154"/>
      <c r="O139" s="120"/>
      <c r="Q139" s="144"/>
      <c r="S139" s="144"/>
      <c r="T139" s="144"/>
    </row>
    <row r="140" spans="11:20" s="1" customFormat="1" ht="17.100000000000001" customHeight="1">
      <c r="K140" s="131"/>
      <c r="L140" s="131"/>
      <c r="M140" s="154"/>
      <c r="O140" s="120"/>
      <c r="Q140" s="144"/>
      <c r="S140" s="144"/>
      <c r="T140" s="144"/>
    </row>
    <row r="141" spans="11:20" s="1" customFormat="1" ht="17.100000000000001" customHeight="1">
      <c r="K141" s="131"/>
      <c r="L141" s="131"/>
      <c r="M141" s="154"/>
      <c r="O141" s="120"/>
      <c r="Q141" s="144"/>
      <c r="S141" s="144"/>
      <c r="T141" s="144"/>
    </row>
    <row r="142" spans="11:20" s="1" customFormat="1" ht="17.100000000000001" customHeight="1">
      <c r="K142" s="131"/>
      <c r="L142" s="131"/>
      <c r="M142" s="154"/>
      <c r="O142" s="120"/>
      <c r="Q142" s="144"/>
      <c r="S142" s="144"/>
      <c r="T142" s="144"/>
    </row>
    <row r="143" spans="11:20" s="1" customFormat="1" ht="17.100000000000001" customHeight="1">
      <c r="K143" s="131"/>
      <c r="L143" s="131"/>
      <c r="M143" s="154"/>
      <c r="O143" s="120"/>
      <c r="Q143" s="144"/>
      <c r="S143" s="144"/>
      <c r="T143" s="144"/>
    </row>
    <row r="144" spans="11:20" s="1" customFormat="1" ht="17.100000000000001" customHeight="1">
      <c r="K144" s="131"/>
      <c r="L144" s="131"/>
      <c r="M144" s="154"/>
      <c r="O144" s="120"/>
      <c r="Q144" s="144"/>
      <c r="S144" s="144"/>
      <c r="T144" s="144"/>
    </row>
    <row r="145" spans="11:20" s="1" customFormat="1" ht="17.100000000000001" customHeight="1">
      <c r="K145" s="131"/>
      <c r="L145" s="131"/>
      <c r="M145" s="154"/>
      <c r="O145" s="120"/>
      <c r="Q145" s="144"/>
      <c r="S145" s="144"/>
      <c r="T145" s="144"/>
    </row>
    <row r="146" spans="11:20" s="1" customFormat="1" ht="17.100000000000001" customHeight="1">
      <c r="K146" s="131"/>
      <c r="L146" s="131"/>
      <c r="M146" s="154"/>
      <c r="O146" s="120"/>
      <c r="Q146" s="144"/>
      <c r="S146" s="144"/>
      <c r="T146" s="144"/>
    </row>
    <row r="147" spans="11:20" s="1" customFormat="1" ht="17.100000000000001" customHeight="1">
      <c r="K147" s="131"/>
      <c r="L147" s="131"/>
      <c r="M147" s="154"/>
      <c r="O147" s="120"/>
      <c r="Q147" s="144"/>
      <c r="S147" s="144"/>
      <c r="T147" s="144"/>
    </row>
    <row r="148" spans="11:20" s="1" customFormat="1" ht="17.100000000000001" customHeight="1">
      <c r="K148" s="131"/>
      <c r="L148" s="131"/>
      <c r="M148" s="154"/>
      <c r="O148" s="120"/>
      <c r="Q148" s="144"/>
      <c r="S148" s="144"/>
      <c r="T148" s="144"/>
    </row>
    <row r="149" spans="11:20" s="1" customFormat="1" ht="17.100000000000001" customHeight="1">
      <c r="K149" s="131"/>
      <c r="L149" s="131"/>
      <c r="M149" s="154"/>
      <c r="O149" s="120"/>
      <c r="Q149" s="144"/>
      <c r="S149" s="144"/>
      <c r="T149" s="144"/>
    </row>
    <row r="150" spans="11:20" s="1" customFormat="1" ht="17.100000000000001" customHeight="1">
      <c r="K150" s="131"/>
      <c r="L150" s="131"/>
      <c r="M150" s="154"/>
      <c r="O150" s="120"/>
      <c r="Q150" s="144"/>
      <c r="S150" s="144"/>
      <c r="T150" s="144"/>
    </row>
    <row r="151" spans="11:20" s="1" customFormat="1" ht="17.100000000000001" customHeight="1">
      <c r="K151" s="131"/>
      <c r="L151" s="131"/>
      <c r="M151" s="154"/>
      <c r="O151" s="120"/>
      <c r="Q151" s="144"/>
      <c r="S151" s="144"/>
      <c r="T151" s="144"/>
    </row>
    <row r="152" spans="11:20" s="1" customFormat="1" ht="17.100000000000001" customHeight="1">
      <c r="K152" s="131"/>
      <c r="L152" s="131"/>
      <c r="M152" s="154"/>
      <c r="O152" s="120"/>
      <c r="Q152" s="144"/>
      <c r="S152" s="144"/>
      <c r="T152" s="144"/>
    </row>
    <row r="153" spans="11:20" s="1" customFormat="1" ht="17.100000000000001" customHeight="1">
      <c r="K153" s="131"/>
      <c r="L153" s="131"/>
      <c r="M153" s="154"/>
      <c r="O153" s="120"/>
      <c r="Q153" s="144"/>
      <c r="S153" s="144"/>
      <c r="T153" s="144"/>
    </row>
    <row r="154" spans="11:20" s="1" customFormat="1" ht="17.100000000000001" customHeight="1">
      <c r="K154" s="131"/>
      <c r="L154" s="131"/>
      <c r="M154" s="154"/>
      <c r="O154" s="120"/>
      <c r="Q154" s="144"/>
      <c r="S154" s="144"/>
      <c r="T154" s="144"/>
    </row>
    <row r="155" spans="11:20" s="1" customFormat="1" ht="17.100000000000001" customHeight="1">
      <c r="K155" s="131"/>
      <c r="L155" s="131"/>
      <c r="M155" s="154"/>
      <c r="O155" s="120"/>
      <c r="Q155" s="144"/>
      <c r="S155" s="144"/>
      <c r="T155" s="144"/>
    </row>
    <row r="156" spans="11:20" s="1" customFormat="1" ht="17.100000000000001" customHeight="1">
      <c r="K156" s="131"/>
      <c r="L156" s="131"/>
      <c r="M156" s="154"/>
      <c r="O156" s="120"/>
      <c r="Q156" s="144"/>
      <c r="S156" s="144"/>
      <c r="T156" s="144"/>
    </row>
    <row r="157" spans="11:20" s="1" customFormat="1" ht="17.100000000000001" customHeight="1">
      <c r="K157" s="131"/>
      <c r="L157" s="131"/>
      <c r="M157" s="154"/>
      <c r="O157" s="120"/>
      <c r="Q157" s="144"/>
      <c r="S157" s="144"/>
      <c r="T157" s="144"/>
    </row>
    <row r="158" spans="11:20" s="1" customFormat="1" ht="17.100000000000001" customHeight="1">
      <c r="K158" s="131"/>
      <c r="L158" s="131"/>
      <c r="M158" s="154"/>
      <c r="O158" s="120"/>
      <c r="Q158" s="144"/>
      <c r="S158" s="144"/>
      <c r="T158" s="144"/>
    </row>
    <row r="159" spans="11:20" s="1" customFormat="1" ht="17.100000000000001" customHeight="1">
      <c r="K159" s="131"/>
      <c r="L159" s="131"/>
      <c r="M159" s="154"/>
      <c r="O159" s="120"/>
      <c r="Q159" s="144"/>
      <c r="S159" s="144"/>
      <c r="T159" s="144"/>
    </row>
    <row r="160" spans="11:20" s="1" customFormat="1" ht="17.100000000000001" customHeight="1">
      <c r="K160" s="131"/>
      <c r="L160" s="131"/>
      <c r="M160" s="154"/>
      <c r="O160" s="120"/>
      <c r="Q160" s="144"/>
      <c r="S160" s="144"/>
      <c r="T160" s="144"/>
    </row>
    <row r="161" spans="11:20" s="1" customFormat="1" ht="17.100000000000001" customHeight="1">
      <c r="K161" s="131"/>
      <c r="L161" s="131"/>
      <c r="M161" s="154"/>
      <c r="O161" s="120"/>
      <c r="Q161" s="144"/>
      <c r="S161" s="144"/>
      <c r="T161" s="144"/>
    </row>
    <row r="162" spans="11:20" s="1" customFormat="1" ht="17.100000000000001" customHeight="1">
      <c r="K162" s="131"/>
      <c r="L162" s="131"/>
      <c r="M162" s="154"/>
      <c r="O162" s="120"/>
      <c r="Q162" s="144"/>
      <c r="S162" s="144"/>
      <c r="T162" s="144"/>
    </row>
    <row r="163" spans="11:20" s="1" customFormat="1" ht="17.100000000000001" customHeight="1">
      <c r="K163" s="131"/>
      <c r="L163" s="131"/>
      <c r="M163" s="154"/>
      <c r="O163" s="120"/>
      <c r="Q163" s="144"/>
      <c r="S163" s="144"/>
      <c r="T163" s="144"/>
    </row>
    <row r="164" spans="11:20" s="1" customFormat="1" ht="17.100000000000001" customHeight="1">
      <c r="K164" s="131"/>
      <c r="L164" s="131"/>
      <c r="M164" s="154"/>
      <c r="O164" s="120"/>
      <c r="Q164" s="144"/>
      <c r="S164" s="144"/>
      <c r="T164" s="144"/>
    </row>
    <row r="165" spans="11:20" s="1" customFormat="1" ht="17.100000000000001" customHeight="1">
      <c r="K165" s="131"/>
      <c r="L165" s="131"/>
      <c r="M165" s="154"/>
      <c r="O165" s="120"/>
      <c r="Q165" s="144"/>
      <c r="S165" s="144"/>
      <c r="T165" s="144"/>
    </row>
    <row r="166" spans="11:20" s="1" customFormat="1" ht="17.100000000000001" customHeight="1">
      <c r="K166" s="131"/>
      <c r="L166" s="131"/>
      <c r="M166" s="154"/>
      <c r="O166" s="120"/>
      <c r="Q166" s="144"/>
      <c r="S166" s="144"/>
      <c r="T166" s="144"/>
    </row>
    <row r="167" spans="11:20" s="1" customFormat="1" ht="17.100000000000001" customHeight="1">
      <c r="K167" s="131"/>
      <c r="L167" s="131"/>
      <c r="M167" s="154"/>
      <c r="O167" s="120"/>
      <c r="Q167" s="144"/>
      <c r="S167" s="144"/>
      <c r="T167" s="144"/>
    </row>
    <row r="168" spans="11:20" s="1" customFormat="1" ht="17.100000000000001" customHeight="1">
      <c r="K168" s="131"/>
      <c r="L168" s="131"/>
      <c r="M168" s="154"/>
      <c r="O168" s="120"/>
      <c r="Q168" s="144"/>
      <c r="S168" s="144"/>
      <c r="T168" s="144"/>
    </row>
    <row r="169" spans="11:20" s="1" customFormat="1" ht="17.100000000000001" customHeight="1">
      <c r="K169" s="131"/>
      <c r="L169" s="131"/>
      <c r="M169" s="154"/>
      <c r="O169" s="120"/>
      <c r="Q169" s="144"/>
      <c r="S169" s="144"/>
      <c r="T169" s="144"/>
    </row>
    <row r="170" spans="11:20" s="1" customFormat="1" ht="17.100000000000001" customHeight="1">
      <c r="K170" s="131"/>
      <c r="L170" s="131"/>
      <c r="M170" s="154"/>
      <c r="O170" s="120"/>
      <c r="Q170" s="144"/>
      <c r="S170" s="144"/>
      <c r="T170" s="144"/>
    </row>
    <row r="171" spans="11:20" s="1" customFormat="1" ht="17.100000000000001" customHeight="1">
      <c r="K171" s="131"/>
      <c r="L171" s="131"/>
      <c r="M171" s="154"/>
      <c r="O171" s="120"/>
      <c r="Q171" s="144"/>
      <c r="S171" s="144"/>
      <c r="T171" s="144"/>
    </row>
    <row r="172" spans="11:20" s="1" customFormat="1" ht="17.100000000000001" customHeight="1">
      <c r="K172" s="131"/>
      <c r="L172" s="131"/>
      <c r="M172" s="154"/>
      <c r="O172" s="120"/>
      <c r="Q172" s="144"/>
      <c r="S172" s="144"/>
      <c r="T172" s="144"/>
    </row>
    <row r="173" spans="11:20" s="1" customFormat="1" ht="17.100000000000001" customHeight="1">
      <c r="K173" s="131"/>
      <c r="L173" s="131"/>
      <c r="M173" s="154"/>
      <c r="O173" s="120"/>
      <c r="Q173" s="144"/>
      <c r="S173" s="144"/>
      <c r="T173" s="144"/>
    </row>
    <row r="174" spans="11:20" s="1" customFormat="1" ht="17.100000000000001" customHeight="1">
      <c r="K174" s="131"/>
      <c r="L174" s="131"/>
      <c r="M174" s="154"/>
      <c r="O174" s="120"/>
      <c r="Q174" s="144"/>
      <c r="S174" s="144"/>
      <c r="T174" s="144"/>
    </row>
    <row r="175" spans="11:20" s="1" customFormat="1" ht="17.100000000000001" customHeight="1">
      <c r="K175" s="131"/>
      <c r="L175" s="131"/>
      <c r="M175" s="154"/>
      <c r="O175" s="120"/>
      <c r="Q175" s="144"/>
      <c r="S175" s="144"/>
      <c r="T175" s="144"/>
    </row>
    <row r="176" spans="11:20" s="1" customFormat="1" ht="17.100000000000001" customHeight="1">
      <c r="K176" s="131"/>
      <c r="L176" s="131"/>
      <c r="M176" s="154"/>
      <c r="O176" s="120"/>
      <c r="Q176" s="144"/>
      <c r="S176" s="144"/>
      <c r="T176" s="144"/>
    </row>
    <row r="177" spans="11:20" s="1" customFormat="1" ht="17.100000000000001" customHeight="1">
      <c r="K177" s="131"/>
      <c r="L177" s="131"/>
      <c r="M177" s="154"/>
      <c r="O177" s="120"/>
      <c r="Q177" s="144"/>
      <c r="S177" s="144"/>
      <c r="T177" s="144"/>
    </row>
    <row r="178" spans="11:20" s="1" customFormat="1" ht="17.100000000000001" customHeight="1">
      <c r="K178" s="131"/>
      <c r="L178" s="131"/>
      <c r="M178" s="154"/>
      <c r="O178" s="120"/>
      <c r="Q178" s="144"/>
      <c r="S178" s="144"/>
      <c r="T178" s="144"/>
    </row>
    <row r="179" spans="11:20" s="1" customFormat="1" ht="17.100000000000001" customHeight="1">
      <c r="K179" s="131"/>
      <c r="L179" s="131"/>
      <c r="M179" s="154"/>
      <c r="O179" s="120"/>
      <c r="Q179" s="144"/>
      <c r="S179" s="144"/>
      <c r="T179" s="144"/>
    </row>
    <row r="180" spans="11:20" s="1" customFormat="1" ht="17.100000000000001" customHeight="1">
      <c r="K180" s="131"/>
      <c r="L180" s="131"/>
      <c r="M180" s="154"/>
      <c r="O180" s="120"/>
      <c r="Q180" s="144"/>
      <c r="S180" s="144"/>
      <c r="T180" s="144"/>
    </row>
    <row r="181" spans="11:20" s="1" customFormat="1" ht="17.100000000000001" customHeight="1">
      <c r="K181" s="131"/>
      <c r="L181" s="131"/>
      <c r="M181" s="154"/>
      <c r="O181" s="120"/>
      <c r="Q181" s="144"/>
      <c r="S181" s="144"/>
      <c r="T181" s="144"/>
    </row>
    <row r="182" spans="11:20" s="1" customFormat="1" ht="17.100000000000001" customHeight="1">
      <c r="K182" s="131"/>
      <c r="L182" s="131"/>
      <c r="M182" s="154"/>
      <c r="O182" s="120"/>
      <c r="Q182" s="144"/>
      <c r="S182" s="144"/>
      <c r="T182" s="144"/>
    </row>
    <row r="183" spans="11:20" s="1" customFormat="1" ht="17.100000000000001" customHeight="1">
      <c r="K183" s="131"/>
      <c r="L183" s="131"/>
      <c r="M183" s="154"/>
      <c r="O183" s="120"/>
      <c r="Q183" s="144"/>
      <c r="S183" s="144"/>
      <c r="T183" s="144"/>
    </row>
    <row r="184" spans="11:20" s="1" customFormat="1" ht="17.100000000000001" customHeight="1">
      <c r="K184" s="131"/>
      <c r="L184" s="131"/>
      <c r="M184" s="154"/>
      <c r="O184" s="120"/>
      <c r="Q184" s="144"/>
      <c r="S184" s="144"/>
      <c r="T184" s="144"/>
    </row>
    <row r="185" spans="11:20" s="1" customFormat="1" ht="17.100000000000001" customHeight="1">
      <c r="K185" s="131"/>
      <c r="L185" s="131"/>
      <c r="M185" s="154"/>
      <c r="O185" s="120"/>
      <c r="Q185" s="144"/>
      <c r="S185" s="144"/>
      <c r="T185" s="144"/>
    </row>
    <row r="186" spans="11:20" s="1" customFormat="1" ht="17.100000000000001" customHeight="1">
      <c r="K186" s="131"/>
      <c r="L186" s="131"/>
      <c r="M186" s="154"/>
      <c r="O186" s="120"/>
      <c r="Q186" s="144"/>
      <c r="S186" s="144"/>
      <c r="T186" s="144"/>
    </row>
    <row r="187" spans="11:20" s="1" customFormat="1" ht="17.100000000000001" customHeight="1">
      <c r="K187" s="131"/>
      <c r="L187" s="131"/>
      <c r="M187" s="154"/>
      <c r="O187" s="120"/>
      <c r="Q187" s="144"/>
      <c r="S187" s="144"/>
      <c r="T187" s="144"/>
    </row>
    <row r="188" spans="11:20" s="1" customFormat="1" ht="17.100000000000001" customHeight="1">
      <c r="K188" s="131"/>
      <c r="L188" s="131"/>
      <c r="M188" s="154"/>
      <c r="O188" s="120"/>
      <c r="Q188" s="144"/>
      <c r="S188" s="144"/>
      <c r="T188" s="144"/>
    </row>
    <row r="189" spans="11:20" s="1" customFormat="1" ht="17.100000000000001" customHeight="1">
      <c r="K189" s="131"/>
      <c r="L189" s="131"/>
      <c r="M189" s="154"/>
      <c r="O189" s="120"/>
      <c r="Q189" s="144"/>
      <c r="S189" s="144"/>
      <c r="T189" s="144"/>
    </row>
    <row r="190" spans="11:20" s="1" customFormat="1" ht="17.100000000000001" customHeight="1">
      <c r="K190" s="131"/>
      <c r="L190" s="131"/>
      <c r="M190" s="154"/>
      <c r="O190" s="120"/>
      <c r="Q190" s="144"/>
      <c r="S190" s="144"/>
      <c r="T190" s="144"/>
    </row>
    <row r="191" spans="11:20" s="1" customFormat="1" ht="17.100000000000001" customHeight="1">
      <c r="K191" s="131"/>
      <c r="L191" s="131"/>
      <c r="M191" s="154"/>
      <c r="O191" s="120"/>
      <c r="Q191" s="144"/>
      <c r="S191" s="144"/>
      <c r="T191" s="144"/>
    </row>
    <row r="192" spans="11:20" s="1" customFormat="1" ht="17.100000000000001" customHeight="1">
      <c r="K192" s="131"/>
      <c r="L192" s="131"/>
      <c r="M192" s="154"/>
      <c r="O192" s="120"/>
      <c r="Q192" s="144"/>
      <c r="S192" s="144"/>
      <c r="T192" s="144"/>
    </row>
    <row r="193" spans="11:20" s="1" customFormat="1" ht="17.100000000000001" customHeight="1">
      <c r="K193" s="131"/>
      <c r="L193" s="131"/>
      <c r="M193" s="154"/>
      <c r="O193" s="120"/>
      <c r="Q193" s="144"/>
      <c r="S193" s="144"/>
      <c r="T193" s="144"/>
    </row>
    <row r="194" spans="11:20" s="1" customFormat="1" ht="17.100000000000001" customHeight="1">
      <c r="K194" s="131"/>
      <c r="L194" s="131"/>
      <c r="M194" s="154"/>
      <c r="O194" s="120"/>
      <c r="Q194" s="144"/>
      <c r="S194" s="144"/>
      <c r="T194" s="144"/>
    </row>
    <row r="195" spans="11:20" s="1" customFormat="1" ht="17.100000000000001" customHeight="1">
      <c r="K195" s="131"/>
      <c r="L195" s="131"/>
      <c r="M195" s="154"/>
      <c r="O195" s="120"/>
      <c r="Q195" s="144"/>
      <c r="S195" s="144"/>
      <c r="T195" s="144"/>
    </row>
    <row r="196" spans="11:20" s="1" customFormat="1" ht="17.100000000000001" customHeight="1">
      <c r="K196" s="131"/>
      <c r="L196" s="131"/>
      <c r="M196" s="154"/>
      <c r="O196" s="120"/>
      <c r="Q196" s="144"/>
      <c r="S196" s="144"/>
      <c r="T196" s="144"/>
    </row>
    <row r="197" spans="11:20" s="1" customFormat="1" ht="17.100000000000001" customHeight="1">
      <c r="K197" s="131"/>
      <c r="L197" s="131"/>
      <c r="M197" s="154"/>
      <c r="O197" s="120"/>
      <c r="Q197" s="144"/>
      <c r="S197" s="144"/>
      <c r="T197" s="144"/>
    </row>
    <row r="198" spans="11:20" s="1" customFormat="1" ht="17.100000000000001" customHeight="1">
      <c r="K198" s="131"/>
      <c r="L198" s="131"/>
      <c r="M198" s="154"/>
      <c r="O198" s="120"/>
      <c r="Q198" s="144"/>
      <c r="S198" s="144"/>
      <c r="T198" s="144"/>
    </row>
    <row r="199" spans="11:20" s="1" customFormat="1" ht="17.100000000000001" customHeight="1">
      <c r="K199" s="131"/>
      <c r="L199" s="131"/>
      <c r="M199" s="154"/>
      <c r="O199" s="120"/>
      <c r="Q199" s="144"/>
      <c r="S199" s="144"/>
      <c r="T199" s="144"/>
    </row>
    <row r="200" spans="11:20" s="1" customFormat="1" ht="17.100000000000001" customHeight="1">
      <c r="K200" s="131"/>
      <c r="L200" s="131"/>
      <c r="M200" s="154"/>
      <c r="O200" s="120"/>
      <c r="Q200" s="144"/>
      <c r="S200" s="144"/>
      <c r="T200" s="144"/>
    </row>
    <row r="201" spans="11:20" s="1" customFormat="1" ht="17.100000000000001" customHeight="1">
      <c r="K201" s="131"/>
      <c r="L201" s="131"/>
      <c r="M201" s="154"/>
      <c r="O201" s="120"/>
      <c r="Q201" s="144"/>
      <c r="S201" s="144"/>
      <c r="T201" s="144"/>
    </row>
    <row r="202" spans="11:20" s="1" customFormat="1" ht="17.100000000000001" customHeight="1">
      <c r="K202" s="131"/>
      <c r="L202" s="131"/>
      <c r="M202" s="154"/>
      <c r="O202" s="120"/>
      <c r="Q202" s="144"/>
      <c r="S202" s="144"/>
      <c r="T202" s="144"/>
    </row>
    <row r="203" spans="11:20" s="1" customFormat="1" ht="17.100000000000001" customHeight="1">
      <c r="K203" s="131"/>
      <c r="L203" s="131"/>
      <c r="M203" s="154"/>
      <c r="O203" s="120"/>
      <c r="Q203" s="144"/>
      <c r="S203" s="144"/>
      <c r="T203" s="144"/>
    </row>
    <row r="204" spans="11:20" s="1" customFormat="1" ht="17.100000000000001" customHeight="1">
      <c r="K204" s="131"/>
      <c r="L204" s="131"/>
      <c r="M204" s="154"/>
      <c r="O204" s="120"/>
      <c r="Q204" s="144"/>
      <c r="S204" s="144"/>
      <c r="T204" s="144"/>
    </row>
    <row r="205" spans="11:20" s="1" customFormat="1" ht="17.100000000000001" customHeight="1">
      <c r="K205" s="131"/>
      <c r="L205" s="131"/>
      <c r="M205" s="154"/>
      <c r="O205" s="120"/>
      <c r="Q205" s="144"/>
      <c r="S205" s="144"/>
      <c r="T205" s="144"/>
    </row>
    <row r="206" spans="11:20" s="1" customFormat="1" ht="17.100000000000001" customHeight="1">
      <c r="K206" s="131"/>
      <c r="L206" s="131"/>
      <c r="M206" s="154"/>
      <c r="O206" s="120"/>
      <c r="Q206" s="144"/>
      <c r="S206" s="144"/>
      <c r="T206" s="144"/>
    </row>
    <row r="207" spans="11:20" s="1" customFormat="1" ht="17.100000000000001" customHeight="1">
      <c r="K207" s="131"/>
      <c r="L207" s="131"/>
      <c r="M207" s="154"/>
      <c r="O207" s="120"/>
      <c r="Q207" s="144"/>
      <c r="S207" s="144"/>
      <c r="T207" s="144"/>
    </row>
    <row r="208" spans="11:20" s="1" customFormat="1" ht="17.100000000000001" customHeight="1">
      <c r="K208" s="131"/>
      <c r="L208" s="131"/>
      <c r="M208" s="154"/>
      <c r="O208" s="120"/>
      <c r="Q208" s="144"/>
      <c r="S208" s="144"/>
      <c r="T208" s="144"/>
    </row>
    <row r="209" spans="11:20" s="1" customFormat="1" ht="17.100000000000001" customHeight="1">
      <c r="K209" s="131"/>
      <c r="L209" s="131"/>
      <c r="M209" s="154"/>
      <c r="O209" s="120"/>
      <c r="Q209" s="144"/>
      <c r="S209" s="144"/>
      <c r="T209" s="144"/>
    </row>
    <row r="210" spans="11:20" s="1" customFormat="1" ht="17.100000000000001" customHeight="1">
      <c r="K210" s="131"/>
      <c r="L210" s="131"/>
      <c r="M210" s="154"/>
      <c r="O210" s="120"/>
      <c r="Q210" s="144"/>
      <c r="S210" s="144"/>
      <c r="T210" s="144"/>
    </row>
    <row r="211" spans="11:20" s="1" customFormat="1" ht="17.100000000000001" customHeight="1">
      <c r="K211" s="131"/>
      <c r="L211" s="131"/>
      <c r="M211" s="154"/>
      <c r="O211" s="120"/>
      <c r="Q211" s="144"/>
      <c r="S211" s="144"/>
      <c r="T211" s="144"/>
    </row>
    <row r="212" spans="11:20" s="1" customFormat="1" ht="17.100000000000001" customHeight="1">
      <c r="K212" s="131"/>
      <c r="L212" s="131"/>
      <c r="M212" s="154"/>
      <c r="O212" s="120"/>
      <c r="Q212" s="144"/>
      <c r="S212" s="144"/>
      <c r="T212" s="144"/>
    </row>
    <row r="213" spans="11:20" s="1" customFormat="1" ht="17.100000000000001" customHeight="1">
      <c r="K213" s="131"/>
      <c r="L213" s="131"/>
      <c r="M213" s="154"/>
      <c r="O213" s="120"/>
      <c r="Q213" s="144"/>
      <c r="S213" s="144"/>
      <c r="T213" s="144"/>
    </row>
    <row r="214" spans="11:20" s="1" customFormat="1" ht="17.100000000000001" customHeight="1">
      <c r="K214" s="131"/>
      <c r="L214" s="131"/>
      <c r="M214" s="154"/>
      <c r="O214" s="120"/>
      <c r="Q214" s="144"/>
      <c r="S214" s="144"/>
      <c r="T214" s="144"/>
    </row>
    <row r="215" spans="11:20" s="1" customFormat="1" ht="17.100000000000001" customHeight="1">
      <c r="K215" s="131"/>
      <c r="L215" s="131"/>
      <c r="M215" s="154"/>
      <c r="O215" s="120"/>
      <c r="Q215" s="144"/>
      <c r="S215" s="144"/>
      <c r="T215" s="144"/>
    </row>
    <row r="216" spans="11:20" s="1" customFormat="1" ht="17.100000000000001" customHeight="1">
      <c r="K216" s="131"/>
      <c r="L216" s="131"/>
      <c r="M216" s="154"/>
      <c r="O216" s="120"/>
      <c r="Q216" s="144"/>
      <c r="S216" s="144"/>
      <c r="T216" s="144"/>
    </row>
    <row r="217" spans="11:20" s="1" customFormat="1" ht="17.100000000000001" customHeight="1">
      <c r="K217" s="131"/>
      <c r="L217" s="131"/>
      <c r="M217" s="154"/>
      <c r="O217" s="120"/>
      <c r="Q217" s="144"/>
      <c r="S217" s="144"/>
      <c r="T217" s="144"/>
    </row>
    <row r="218" spans="11:20" s="1" customFormat="1" ht="17.100000000000001" customHeight="1">
      <c r="K218" s="131"/>
      <c r="L218" s="131"/>
      <c r="M218" s="154"/>
      <c r="O218" s="120"/>
      <c r="Q218" s="144"/>
      <c r="S218" s="144"/>
      <c r="T218" s="144"/>
    </row>
    <row r="219" spans="11:20" s="1" customFormat="1" ht="17.100000000000001" customHeight="1">
      <c r="K219" s="131"/>
      <c r="L219" s="131"/>
      <c r="M219" s="154"/>
      <c r="O219" s="120"/>
      <c r="Q219" s="144"/>
      <c r="S219" s="144"/>
      <c r="T219" s="144"/>
    </row>
    <row r="220" spans="11:20" s="1" customFormat="1" ht="17.100000000000001" customHeight="1">
      <c r="K220" s="131"/>
      <c r="L220" s="131"/>
      <c r="M220" s="154"/>
      <c r="O220" s="120"/>
      <c r="Q220" s="144"/>
      <c r="S220" s="144"/>
      <c r="T220" s="144"/>
    </row>
    <row r="221" spans="11:20" s="1" customFormat="1" ht="17.100000000000001" customHeight="1">
      <c r="K221" s="131"/>
      <c r="L221" s="131"/>
      <c r="M221" s="154"/>
      <c r="O221" s="120"/>
      <c r="Q221" s="144"/>
      <c r="S221" s="144"/>
      <c r="T221" s="144"/>
    </row>
    <row r="222" spans="11:20" s="1" customFormat="1" ht="17.100000000000001" customHeight="1">
      <c r="K222" s="131"/>
      <c r="L222" s="131"/>
      <c r="M222" s="154"/>
      <c r="O222" s="120"/>
      <c r="Q222" s="144"/>
      <c r="S222" s="144"/>
      <c r="T222" s="144"/>
    </row>
    <row r="223" spans="11:20" s="1" customFormat="1" ht="17.100000000000001" customHeight="1">
      <c r="K223" s="131"/>
      <c r="L223" s="131"/>
      <c r="M223" s="154"/>
      <c r="O223" s="120"/>
      <c r="Q223" s="144"/>
      <c r="S223" s="144"/>
      <c r="T223" s="144"/>
    </row>
    <row r="224" spans="11:20" s="1" customFormat="1" ht="17.100000000000001" customHeight="1">
      <c r="K224" s="131"/>
      <c r="L224" s="131"/>
      <c r="M224" s="154"/>
      <c r="O224" s="120"/>
      <c r="Q224" s="144"/>
      <c r="S224" s="144"/>
      <c r="T224" s="144"/>
    </row>
    <row r="225" spans="11:20" s="1" customFormat="1" ht="17.100000000000001" customHeight="1">
      <c r="K225" s="131"/>
      <c r="L225" s="131"/>
      <c r="M225" s="154"/>
      <c r="O225" s="120"/>
      <c r="Q225" s="144"/>
      <c r="S225" s="144"/>
      <c r="T225" s="144"/>
    </row>
    <row r="226" spans="11:20" s="1" customFormat="1" ht="17.100000000000001" customHeight="1">
      <c r="K226" s="131"/>
      <c r="L226" s="131"/>
      <c r="M226" s="154"/>
      <c r="O226" s="120"/>
      <c r="Q226" s="144"/>
      <c r="S226" s="144"/>
      <c r="T226" s="144"/>
    </row>
    <row r="227" spans="11:20" s="1" customFormat="1" ht="17.100000000000001" customHeight="1">
      <c r="K227" s="131"/>
      <c r="L227" s="131"/>
      <c r="M227" s="154"/>
      <c r="O227" s="120"/>
      <c r="Q227" s="144"/>
      <c r="S227" s="144"/>
      <c r="T227" s="144"/>
    </row>
    <row r="228" spans="11:20" s="1" customFormat="1" ht="17.100000000000001" customHeight="1">
      <c r="K228" s="131"/>
      <c r="L228" s="131"/>
      <c r="M228" s="154"/>
      <c r="O228" s="120"/>
      <c r="Q228" s="144"/>
      <c r="S228" s="144"/>
      <c r="T228" s="144"/>
    </row>
    <row r="229" spans="11:20" s="1" customFormat="1" ht="17.100000000000001" customHeight="1">
      <c r="K229" s="131"/>
      <c r="L229" s="131"/>
      <c r="M229" s="154"/>
      <c r="O229" s="120"/>
      <c r="Q229" s="144"/>
      <c r="S229" s="144"/>
      <c r="T229" s="144"/>
    </row>
    <row r="230" spans="11:20" s="1" customFormat="1" ht="17.100000000000001" customHeight="1">
      <c r="K230" s="131"/>
      <c r="L230" s="131"/>
      <c r="M230" s="154"/>
      <c r="O230" s="120"/>
      <c r="Q230" s="144"/>
      <c r="S230" s="144"/>
      <c r="T230" s="144"/>
    </row>
    <row r="231" spans="11:20" s="1" customFormat="1" ht="17.100000000000001" customHeight="1">
      <c r="K231" s="131"/>
      <c r="L231" s="131"/>
      <c r="M231" s="154"/>
      <c r="O231" s="120"/>
      <c r="Q231" s="144"/>
      <c r="S231" s="144"/>
      <c r="T231" s="144"/>
    </row>
    <row r="232" spans="11:20" s="1" customFormat="1" ht="17.100000000000001" customHeight="1">
      <c r="K232" s="131"/>
      <c r="L232" s="131"/>
      <c r="M232" s="154"/>
      <c r="O232" s="120"/>
      <c r="Q232" s="144"/>
      <c r="S232" s="144"/>
      <c r="T232" s="144"/>
    </row>
    <row r="233" spans="11:20" s="1" customFormat="1" ht="17.100000000000001" customHeight="1">
      <c r="K233" s="131"/>
      <c r="L233" s="131"/>
      <c r="M233" s="154"/>
      <c r="O233" s="120"/>
      <c r="Q233" s="144"/>
      <c r="S233" s="144"/>
      <c r="T233" s="144"/>
    </row>
    <row r="234" spans="11:20" s="1" customFormat="1" ht="17.100000000000001" customHeight="1">
      <c r="K234" s="131"/>
      <c r="L234" s="131"/>
      <c r="M234" s="154"/>
      <c r="O234" s="120"/>
      <c r="Q234" s="144"/>
      <c r="S234" s="144"/>
      <c r="T234" s="144"/>
    </row>
    <row r="235" spans="11:20" s="1" customFormat="1" ht="17.100000000000001" customHeight="1">
      <c r="K235" s="131"/>
      <c r="L235" s="131"/>
      <c r="M235" s="154"/>
      <c r="O235" s="120"/>
      <c r="Q235" s="144"/>
      <c r="S235" s="144"/>
      <c r="T235" s="144"/>
    </row>
    <row r="236" spans="11:20" s="1" customFormat="1" ht="17.100000000000001" customHeight="1">
      <c r="K236" s="131"/>
      <c r="L236" s="131"/>
      <c r="M236" s="154"/>
      <c r="O236" s="120"/>
      <c r="Q236" s="144"/>
      <c r="S236" s="144"/>
      <c r="T236" s="144"/>
    </row>
    <row r="237" spans="11:20" s="1" customFormat="1" ht="17.100000000000001" customHeight="1">
      <c r="K237" s="131"/>
      <c r="L237" s="131"/>
      <c r="M237" s="154"/>
      <c r="O237" s="120"/>
      <c r="Q237" s="144"/>
      <c r="S237" s="144"/>
      <c r="T237" s="144"/>
    </row>
    <row r="238" spans="11:20" s="1" customFormat="1" ht="17.100000000000001" customHeight="1">
      <c r="K238" s="131"/>
      <c r="L238" s="131"/>
      <c r="M238" s="154"/>
      <c r="O238" s="120"/>
      <c r="Q238" s="144"/>
      <c r="S238" s="144"/>
      <c r="T238" s="144"/>
    </row>
    <row r="239" spans="11:20" s="1" customFormat="1" ht="17.100000000000001" customHeight="1">
      <c r="K239" s="131"/>
      <c r="L239" s="131"/>
      <c r="M239" s="154"/>
      <c r="O239" s="120"/>
      <c r="Q239" s="144"/>
      <c r="S239" s="144"/>
      <c r="T239" s="144"/>
    </row>
    <row r="240" spans="11:20" s="1" customFormat="1" ht="17.100000000000001" customHeight="1">
      <c r="K240" s="131"/>
      <c r="L240" s="131"/>
      <c r="M240" s="154"/>
      <c r="O240" s="120"/>
      <c r="Q240" s="144"/>
      <c r="S240" s="144"/>
      <c r="T240" s="144"/>
    </row>
    <row r="241" spans="11:20" s="1" customFormat="1" ht="17.100000000000001" customHeight="1">
      <c r="K241" s="131"/>
      <c r="L241" s="131"/>
      <c r="M241" s="154"/>
      <c r="O241" s="120"/>
      <c r="Q241" s="144"/>
      <c r="S241" s="144"/>
      <c r="T241" s="144"/>
    </row>
    <row r="242" spans="11:20" s="1" customFormat="1" ht="17.100000000000001" customHeight="1">
      <c r="K242" s="131"/>
      <c r="L242" s="131"/>
      <c r="M242" s="154"/>
      <c r="O242" s="120"/>
      <c r="Q242" s="144"/>
      <c r="S242" s="144"/>
      <c r="T242" s="144"/>
    </row>
    <row r="243" spans="11:20" s="1" customFormat="1" ht="17.100000000000001" customHeight="1">
      <c r="K243" s="131"/>
      <c r="L243" s="131"/>
      <c r="M243" s="154"/>
      <c r="O243" s="120"/>
      <c r="Q243" s="144"/>
      <c r="S243" s="144"/>
      <c r="T243" s="144"/>
    </row>
    <row r="244" spans="11:20" s="1" customFormat="1" ht="17.100000000000001" customHeight="1">
      <c r="K244" s="131"/>
      <c r="L244" s="131"/>
      <c r="M244" s="154"/>
      <c r="O244" s="120"/>
      <c r="Q244" s="144"/>
      <c r="S244" s="144"/>
      <c r="T244" s="144"/>
    </row>
    <row r="245" spans="11:20" s="1" customFormat="1" ht="17.100000000000001" customHeight="1">
      <c r="K245" s="131"/>
      <c r="L245" s="131"/>
      <c r="M245" s="154"/>
      <c r="O245" s="120"/>
      <c r="Q245" s="144"/>
      <c r="S245" s="144"/>
      <c r="T245" s="144"/>
    </row>
    <row r="246" spans="11:20" s="1" customFormat="1" ht="17.100000000000001" customHeight="1">
      <c r="K246" s="131"/>
      <c r="L246" s="131"/>
      <c r="M246" s="154"/>
      <c r="O246" s="120"/>
      <c r="Q246" s="144"/>
      <c r="S246" s="144"/>
      <c r="T246" s="144"/>
    </row>
    <row r="247" spans="11:20" s="1" customFormat="1" ht="17.100000000000001" customHeight="1">
      <c r="K247" s="131"/>
      <c r="L247" s="131"/>
      <c r="M247" s="154"/>
      <c r="O247" s="120"/>
      <c r="Q247" s="144"/>
      <c r="S247" s="144"/>
      <c r="T247" s="144"/>
    </row>
    <row r="248" spans="11:20" s="1" customFormat="1" ht="17.100000000000001" customHeight="1">
      <c r="K248" s="131"/>
      <c r="L248" s="131"/>
      <c r="M248" s="154"/>
      <c r="O248" s="120"/>
      <c r="Q248" s="144"/>
      <c r="S248" s="144"/>
      <c r="T248" s="144"/>
    </row>
    <row r="249" spans="11:20" s="1" customFormat="1" ht="17.100000000000001" customHeight="1">
      <c r="K249" s="131"/>
      <c r="L249" s="131"/>
      <c r="M249" s="154"/>
      <c r="O249" s="120"/>
      <c r="Q249" s="144"/>
      <c r="S249" s="144"/>
      <c r="T249" s="144"/>
    </row>
    <row r="250" spans="11:20" s="1" customFormat="1" ht="17.100000000000001" customHeight="1">
      <c r="K250" s="131"/>
      <c r="L250" s="131"/>
      <c r="M250" s="154"/>
      <c r="O250" s="120"/>
      <c r="Q250" s="144"/>
      <c r="S250" s="144"/>
      <c r="T250" s="144"/>
    </row>
    <row r="251" spans="11:20" s="1" customFormat="1" ht="17.100000000000001" customHeight="1">
      <c r="K251" s="131"/>
      <c r="L251" s="131"/>
      <c r="M251" s="154"/>
      <c r="O251" s="120"/>
      <c r="Q251" s="144"/>
      <c r="S251" s="144"/>
      <c r="T251" s="144"/>
    </row>
    <row r="252" spans="11:20" s="1" customFormat="1" ht="17.100000000000001" customHeight="1">
      <c r="K252" s="131"/>
      <c r="L252" s="131"/>
      <c r="M252" s="154"/>
      <c r="O252" s="120"/>
      <c r="Q252" s="144"/>
      <c r="S252" s="144"/>
      <c r="T252" s="144"/>
    </row>
    <row r="253" spans="11:20" s="1" customFormat="1" ht="17.100000000000001" customHeight="1">
      <c r="K253" s="131"/>
      <c r="L253" s="131"/>
      <c r="M253" s="154"/>
      <c r="O253" s="120"/>
      <c r="Q253" s="144"/>
      <c r="S253" s="144"/>
      <c r="T253" s="144"/>
    </row>
    <row r="254" spans="11:20" s="1" customFormat="1" ht="17.100000000000001" customHeight="1">
      <c r="K254" s="131"/>
      <c r="L254" s="131"/>
      <c r="M254" s="154"/>
      <c r="O254" s="120"/>
      <c r="Q254" s="144"/>
      <c r="S254" s="144"/>
      <c r="T254" s="144"/>
    </row>
    <row r="255" spans="11:20" s="1" customFormat="1" ht="17.100000000000001" customHeight="1">
      <c r="K255" s="131"/>
      <c r="L255" s="131"/>
      <c r="M255" s="154"/>
      <c r="O255" s="120"/>
      <c r="Q255" s="144"/>
      <c r="S255" s="144"/>
      <c r="T255" s="144"/>
    </row>
    <row r="256" spans="11:20" s="1" customFormat="1" ht="17.100000000000001" customHeight="1">
      <c r="K256" s="131"/>
      <c r="L256" s="131"/>
      <c r="M256" s="154"/>
      <c r="O256" s="120"/>
      <c r="Q256" s="144"/>
      <c r="S256" s="144"/>
      <c r="T256" s="144"/>
    </row>
    <row r="257" spans="11:20" s="1" customFormat="1" ht="17.100000000000001" customHeight="1">
      <c r="K257" s="131"/>
      <c r="L257" s="131"/>
      <c r="M257" s="154"/>
      <c r="O257" s="120"/>
      <c r="Q257" s="144"/>
      <c r="S257" s="144"/>
      <c r="T257" s="144"/>
    </row>
    <row r="258" spans="11:20" s="1" customFormat="1" ht="17.100000000000001" customHeight="1">
      <c r="K258" s="131"/>
      <c r="L258" s="131"/>
      <c r="M258" s="154"/>
      <c r="O258" s="120"/>
      <c r="Q258" s="144"/>
      <c r="S258" s="144"/>
      <c r="T258" s="144"/>
    </row>
    <row r="259" spans="11:20" s="1" customFormat="1" ht="17.100000000000001" customHeight="1">
      <c r="K259" s="131"/>
      <c r="L259" s="131"/>
      <c r="M259" s="154"/>
      <c r="O259" s="120"/>
      <c r="Q259" s="144"/>
      <c r="S259" s="144"/>
      <c r="T259" s="144"/>
    </row>
    <row r="260" spans="11:20" s="1" customFormat="1" ht="17.100000000000001" customHeight="1">
      <c r="K260" s="131"/>
      <c r="L260" s="131"/>
      <c r="M260" s="154"/>
      <c r="O260" s="120"/>
      <c r="Q260" s="144"/>
      <c r="S260" s="144"/>
      <c r="T260" s="144"/>
    </row>
    <row r="261" spans="11:20" s="1" customFormat="1" ht="17.100000000000001" customHeight="1">
      <c r="K261" s="131"/>
      <c r="L261" s="131"/>
      <c r="M261" s="154"/>
      <c r="O261" s="120"/>
      <c r="Q261" s="144"/>
      <c r="S261" s="144"/>
      <c r="T261" s="144"/>
    </row>
    <row r="262" spans="11:20" s="1" customFormat="1" ht="17.100000000000001" customHeight="1">
      <c r="K262" s="131"/>
      <c r="L262" s="131"/>
      <c r="M262" s="154"/>
      <c r="O262" s="120"/>
      <c r="Q262" s="144"/>
      <c r="S262" s="144"/>
      <c r="T262" s="144"/>
    </row>
    <row r="263" spans="11:20" s="1" customFormat="1" ht="17.100000000000001" customHeight="1">
      <c r="K263" s="131"/>
      <c r="L263" s="131"/>
      <c r="M263" s="154"/>
      <c r="O263" s="120"/>
      <c r="Q263" s="144"/>
      <c r="S263" s="144"/>
      <c r="T263" s="144"/>
    </row>
    <row r="264" spans="11:20" s="1" customFormat="1" ht="17.100000000000001" customHeight="1">
      <c r="K264" s="131"/>
      <c r="L264" s="131"/>
      <c r="M264" s="154"/>
      <c r="O264" s="120"/>
      <c r="Q264" s="144"/>
      <c r="S264" s="144"/>
      <c r="T264" s="144"/>
    </row>
    <row r="265" spans="11:20" s="1" customFormat="1" ht="17.100000000000001" customHeight="1">
      <c r="K265" s="131"/>
      <c r="L265" s="131"/>
      <c r="M265" s="154"/>
      <c r="O265" s="120"/>
      <c r="Q265" s="144"/>
      <c r="S265" s="144"/>
      <c r="T265" s="144"/>
    </row>
    <row r="266" spans="11:20" s="1" customFormat="1" ht="17.100000000000001" customHeight="1">
      <c r="K266" s="131"/>
      <c r="L266" s="131"/>
      <c r="M266" s="154"/>
      <c r="O266" s="120"/>
      <c r="Q266" s="144"/>
      <c r="S266" s="144"/>
      <c r="T266" s="144"/>
    </row>
    <row r="267" spans="11:20" s="1" customFormat="1" ht="17.100000000000001" customHeight="1">
      <c r="K267" s="131"/>
      <c r="L267" s="131"/>
      <c r="M267" s="154"/>
      <c r="O267" s="120"/>
      <c r="Q267" s="144"/>
      <c r="S267" s="144"/>
      <c r="T267" s="144"/>
    </row>
    <row r="268" spans="11:20" s="1" customFormat="1" ht="17.100000000000001" customHeight="1">
      <c r="K268" s="131"/>
      <c r="L268" s="131"/>
      <c r="M268" s="154"/>
      <c r="O268" s="120"/>
      <c r="Q268" s="144"/>
      <c r="S268" s="144"/>
      <c r="T268" s="144"/>
    </row>
    <row r="269" spans="11:20" s="1" customFormat="1" ht="17.100000000000001" customHeight="1">
      <c r="K269" s="131"/>
      <c r="L269" s="131"/>
      <c r="M269" s="154"/>
      <c r="O269" s="120"/>
      <c r="Q269" s="144"/>
      <c r="S269" s="144"/>
      <c r="T269" s="144"/>
    </row>
    <row r="270" spans="11:20" s="1" customFormat="1" ht="17.100000000000001" customHeight="1">
      <c r="K270" s="131"/>
      <c r="L270" s="131"/>
      <c r="M270" s="154"/>
      <c r="O270" s="120"/>
      <c r="Q270" s="144"/>
      <c r="S270" s="144"/>
      <c r="T270" s="144"/>
    </row>
    <row r="271" spans="11:20" s="1" customFormat="1" ht="17.100000000000001" customHeight="1">
      <c r="K271" s="131"/>
      <c r="L271" s="131"/>
      <c r="M271" s="154"/>
      <c r="O271" s="120"/>
      <c r="Q271" s="144"/>
      <c r="S271" s="144"/>
      <c r="T271" s="144"/>
    </row>
    <row r="272" spans="11:20" s="1" customFormat="1" ht="17.100000000000001" customHeight="1">
      <c r="K272" s="131"/>
      <c r="L272" s="131"/>
      <c r="M272" s="154"/>
      <c r="O272" s="120"/>
      <c r="Q272" s="144"/>
      <c r="S272" s="144"/>
      <c r="T272" s="144"/>
    </row>
    <row r="273" spans="11:20" s="1" customFormat="1" ht="17.100000000000001" customHeight="1">
      <c r="K273" s="131"/>
      <c r="L273" s="131"/>
      <c r="M273" s="154"/>
      <c r="O273" s="120"/>
      <c r="Q273" s="144"/>
      <c r="S273" s="144"/>
      <c r="T273" s="144"/>
    </row>
    <row r="274" spans="11:20" s="1" customFormat="1" ht="17.100000000000001" customHeight="1">
      <c r="K274" s="131"/>
      <c r="L274" s="131"/>
      <c r="M274" s="154"/>
      <c r="O274" s="120"/>
      <c r="Q274" s="144"/>
      <c r="S274" s="144"/>
      <c r="T274" s="144"/>
    </row>
    <row r="275" spans="11:20" s="1" customFormat="1" ht="17.100000000000001" customHeight="1">
      <c r="K275" s="131"/>
      <c r="L275" s="131"/>
      <c r="M275" s="154"/>
      <c r="O275" s="120"/>
      <c r="Q275" s="144"/>
      <c r="S275" s="144"/>
      <c r="T275" s="144"/>
    </row>
    <row r="276" spans="11:20" s="1" customFormat="1" ht="17.100000000000001" customHeight="1">
      <c r="K276" s="131"/>
      <c r="L276" s="131"/>
      <c r="M276" s="154"/>
      <c r="O276" s="120"/>
      <c r="Q276" s="144"/>
      <c r="S276" s="144"/>
      <c r="T276" s="144"/>
    </row>
    <row r="277" spans="11:20" s="1" customFormat="1" ht="17.100000000000001" customHeight="1">
      <c r="K277" s="131"/>
      <c r="L277" s="131"/>
      <c r="M277" s="154"/>
      <c r="O277" s="120"/>
      <c r="Q277" s="144"/>
      <c r="S277" s="144"/>
      <c r="T277" s="144"/>
    </row>
    <row r="278" spans="11:20" s="1" customFormat="1" ht="17.100000000000001" customHeight="1">
      <c r="K278" s="131"/>
      <c r="L278" s="131"/>
      <c r="M278" s="154"/>
      <c r="O278" s="120"/>
      <c r="Q278" s="144"/>
      <c r="S278" s="144"/>
      <c r="T278" s="144"/>
    </row>
    <row r="279" spans="11:20" s="1" customFormat="1" ht="17.100000000000001" customHeight="1">
      <c r="K279" s="131"/>
      <c r="L279" s="131"/>
      <c r="M279" s="154"/>
      <c r="O279" s="120"/>
      <c r="Q279" s="144"/>
      <c r="S279" s="144"/>
      <c r="T279" s="144"/>
    </row>
    <row r="280" spans="11:20" s="1" customFormat="1" ht="17.100000000000001" customHeight="1">
      <c r="K280" s="131"/>
      <c r="L280" s="131"/>
      <c r="M280" s="154"/>
      <c r="O280" s="120"/>
      <c r="Q280" s="144"/>
      <c r="S280" s="144"/>
      <c r="T280" s="144"/>
    </row>
    <row r="281" spans="11:20" s="1" customFormat="1" ht="17.100000000000001" customHeight="1">
      <c r="K281" s="131"/>
      <c r="L281" s="131"/>
      <c r="M281" s="154"/>
      <c r="O281" s="120"/>
      <c r="Q281" s="144"/>
      <c r="S281" s="144"/>
      <c r="T281" s="144"/>
    </row>
    <row r="282" spans="11:20" s="1" customFormat="1" ht="17.100000000000001" customHeight="1">
      <c r="K282" s="131"/>
      <c r="L282" s="131"/>
      <c r="M282" s="154"/>
      <c r="O282" s="120"/>
      <c r="Q282" s="144"/>
      <c r="S282" s="144"/>
      <c r="T282" s="144"/>
    </row>
    <row r="283" spans="11:20" s="1" customFormat="1" ht="17.100000000000001" customHeight="1">
      <c r="K283" s="131"/>
      <c r="L283" s="131"/>
      <c r="M283" s="154"/>
      <c r="O283" s="120"/>
      <c r="Q283" s="144"/>
      <c r="S283" s="144"/>
      <c r="T283" s="144"/>
    </row>
    <row r="284" spans="11:20" s="1" customFormat="1" ht="17.100000000000001" customHeight="1">
      <c r="K284" s="131"/>
      <c r="L284" s="131"/>
      <c r="M284" s="154"/>
      <c r="O284" s="120"/>
      <c r="Q284" s="144"/>
      <c r="S284" s="144"/>
      <c r="T284" s="144"/>
    </row>
    <row r="285" spans="11:20" s="1" customFormat="1" ht="17.100000000000001" customHeight="1">
      <c r="K285" s="131"/>
      <c r="L285" s="131"/>
      <c r="M285" s="154"/>
      <c r="O285" s="120"/>
      <c r="Q285" s="144"/>
      <c r="S285" s="144"/>
      <c r="T285" s="144"/>
    </row>
    <row r="286" spans="11:20" s="1" customFormat="1" ht="17.100000000000001" customHeight="1">
      <c r="K286" s="131"/>
      <c r="L286" s="131"/>
      <c r="M286" s="154"/>
      <c r="O286" s="120"/>
      <c r="Q286" s="144"/>
      <c r="S286" s="144"/>
      <c r="T286" s="144"/>
    </row>
    <row r="287" spans="11:20" s="1" customFormat="1" ht="17.100000000000001" customHeight="1">
      <c r="K287" s="131"/>
      <c r="L287" s="131"/>
      <c r="M287" s="154"/>
      <c r="O287" s="120"/>
      <c r="Q287" s="144"/>
      <c r="S287" s="144"/>
      <c r="T287" s="144"/>
    </row>
    <row r="288" spans="11:20" s="1" customFormat="1" ht="17.100000000000001" customHeight="1">
      <c r="K288" s="131"/>
      <c r="L288" s="131"/>
      <c r="M288" s="154"/>
      <c r="O288" s="120"/>
      <c r="Q288" s="144"/>
      <c r="S288" s="144"/>
      <c r="T288" s="144"/>
    </row>
    <row r="289" spans="11:20" s="1" customFormat="1" ht="17.100000000000001" customHeight="1">
      <c r="K289" s="131"/>
      <c r="L289" s="131"/>
      <c r="M289" s="154"/>
      <c r="O289" s="120"/>
      <c r="Q289" s="144"/>
      <c r="S289" s="144"/>
      <c r="T289" s="144"/>
    </row>
    <row r="290" spans="11:20" s="1" customFormat="1" ht="17.100000000000001" customHeight="1">
      <c r="K290" s="131"/>
      <c r="L290" s="131"/>
      <c r="M290" s="154"/>
      <c r="O290" s="120"/>
      <c r="Q290" s="144"/>
      <c r="S290" s="144"/>
      <c r="T290" s="144"/>
    </row>
    <row r="291" spans="11:20" s="1" customFormat="1" ht="17.100000000000001" customHeight="1">
      <c r="K291" s="131"/>
      <c r="L291" s="131"/>
      <c r="M291" s="154"/>
      <c r="O291" s="120"/>
      <c r="Q291" s="144"/>
      <c r="S291" s="144"/>
      <c r="T291" s="144"/>
    </row>
    <row r="292" spans="11:20" s="1" customFormat="1" ht="17.100000000000001" customHeight="1">
      <c r="K292" s="131"/>
      <c r="L292" s="131"/>
      <c r="M292" s="154"/>
      <c r="O292" s="120"/>
      <c r="Q292" s="144"/>
      <c r="S292" s="144"/>
      <c r="T292" s="144"/>
    </row>
    <row r="293" spans="11:20" s="1" customFormat="1" ht="17.100000000000001" customHeight="1">
      <c r="K293" s="131"/>
      <c r="L293" s="131"/>
      <c r="M293" s="154"/>
      <c r="O293" s="120"/>
      <c r="Q293" s="144"/>
      <c r="S293" s="144"/>
      <c r="T293" s="144"/>
    </row>
    <row r="294" spans="11:20" s="1" customFormat="1" ht="17.100000000000001" customHeight="1">
      <c r="K294" s="131"/>
      <c r="L294" s="131"/>
      <c r="M294" s="154"/>
      <c r="O294" s="120"/>
      <c r="Q294" s="144"/>
      <c r="S294" s="144"/>
      <c r="T294" s="144"/>
    </row>
    <row r="295" spans="11:20" s="1" customFormat="1" ht="17.100000000000001" customHeight="1">
      <c r="K295" s="131"/>
      <c r="L295" s="131"/>
      <c r="M295" s="154"/>
      <c r="O295" s="120"/>
      <c r="Q295" s="144"/>
      <c r="S295" s="144"/>
      <c r="T295" s="144"/>
    </row>
    <row r="296" spans="11:20" s="1" customFormat="1" ht="17.100000000000001" customHeight="1">
      <c r="K296" s="131"/>
      <c r="L296" s="131"/>
      <c r="M296" s="154"/>
      <c r="O296" s="120"/>
      <c r="Q296" s="144"/>
      <c r="S296" s="144"/>
      <c r="T296" s="144"/>
    </row>
    <row r="297" spans="11:20" s="1" customFormat="1" ht="17.100000000000001" customHeight="1">
      <c r="K297" s="131"/>
      <c r="L297" s="131"/>
      <c r="M297" s="154"/>
      <c r="O297" s="120"/>
      <c r="Q297" s="144"/>
      <c r="S297" s="144"/>
      <c r="T297" s="144"/>
    </row>
    <row r="298" spans="11:20" s="1" customFormat="1" ht="17.100000000000001" customHeight="1">
      <c r="K298" s="131"/>
      <c r="L298" s="131"/>
      <c r="M298" s="154"/>
      <c r="O298" s="120"/>
      <c r="Q298" s="144"/>
      <c r="S298" s="144"/>
      <c r="T298" s="144"/>
    </row>
    <row r="299" spans="11:20" s="1" customFormat="1" ht="17.100000000000001" customHeight="1">
      <c r="K299" s="131"/>
      <c r="L299" s="131"/>
      <c r="M299" s="154"/>
      <c r="O299" s="120"/>
      <c r="Q299" s="144"/>
      <c r="S299" s="144"/>
      <c r="T299" s="144"/>
    </row>
    <row r="300" spans="11:20" s="1" customFormat="1" ht="17.100000000000001" customHeight="1">
      <c r="K300" s="131"/>
      <c r="L300" s="131"/>
      <c r="M300" s="154"/>
      <c r="O300" s="120"/>
      <c r="Q300" s="144"/>
      <c r="S300" s="144"/>
      <c r="T300" s="144"/>
    </row>
    <row r="301" spans="11:20" s="1" customFormat="1" ht="17.100000000000001" customHeight="1">
      <c r="K301" s="131"/>
      <c r="L301" s="131"/>
      <c r="M301" s="154"/>
      <c r="O301" s="120"/>
      <c r="Q301" s="144"/>
      <c r="S301" s="144"/>
      <c r="T301" s="144"/>
    </row>
    <row r="302" spans="11:20" s="1" customFormat="1" ht="17.100000000000001" customHeight="1">
      <c r="K302" s="131"/>
      <c r="L302" s="131"/>
      <c r="M302" s="154"/>
      <c r="O302" s="120"/>
      <c r="Q302" s="144"/>
      <c r="S302" s="144"/>
      <c r="T302" s="144"/>
    </row>
    <row r="303" spans="11:20" s="1" customFormat="1" ht="17.100000000000001" customHeight="1">
      <c r="K303" s="131"/>
      <c r="L303" s="131"/>
      <c r="M303" s="154"/>
      <c r="O303" s="120"/>
      <c r="Q303" s="144"/>
      <c r="S303" s="144"/>
      <c r="T303" s="144"/>
    </row>
    <row r="304" spans="11:20" s="1" customFormat="1" ht="17.100000000000001" customHeight="1">
      <c r="K304" s="131"/>
      <c r="L304" s="131"/>
      <c r="M304" s="154"/>
      <c r="O304" s="120"/>
      <c r="Q304" s="144"/>
      <c r="S304" s="144"/>
      <c r="T304" s="144"/>
    </row>
    <row r="305" spans="11:20" s="1" customFormat="1" ht="17.100000000000001" customHeight="1">
      <c r="K305" s="131"/>
      <c r="L305" s="131"/>
      <c r="M305" s="154"/>
      <c r="O305" s="120"/>
      <c r="Q305" s="144"/>
      <c r="S305" s="144"/>
      <c r="T305" s="144"/>
    </row>
    <row r="306" spans="11:20" s="1" customFormat="1" ht="17.100000000000001" customHeight="1">
      <c r="K306" s="131"/>
      <c r="L306" s="131"/>
      <c r="M306" s="154"/>
      <c r="O306" s="120"/>
      <c r="Q306" s="144"/>
      <c r="S306" s="144"/>
      <c r="T306" s="144"/>
    </row>
    <row r="307" spans="11:20" s="1" customFormat="1" ht="17.100000000000001" customHeight="1">
      <c r="K307" s="131"/>
      <c r="L307" s="131"/>
      <c r="M307" s="154"/>
      <c r="O307" s="120"/>
      <c r="Q307" s="144"/>
      <c r="S307" s="144"/>
      <c r="T307" s="144"/>
    </row>
    <row r="308" spans="11:20" s="1" customFormat="1" ht="17.100000000000001" customHeight="1">
      <c r="K308" s="131"/>
      <c r="L308" s="131"/>
      <c r="M308" s="154"/>
      <c r="O308" s="120"/>
      <c r="Q308" s="144"/>
      <c r="S308" s="144"/>
      <c r="T308" s="144"/>
    </row>
    <row r="309" spans="11:20" s="1" customFormat="1" ht="17.100000000000001" customHeight="1">
      <c r="K309" s="131"/>
      <c r="L309" s="131"/>
      <c r="M309" s="154"/>
      <c r="O309" s="120"/>
      <c r="Q309" s="144"/>
      <c r="S309" s="144"/>
      <c r="T309" s="144"/>
    </row>
    <row r="310" spans="11:20" s="1" customFormat="1" ht="17.100000000000001" customHeight="1">
      <c r="K310" s="131"/>
      <c r="L310" s="131"/>
      <c r="M310" s="154"/>
      <c r="O310" s="120"/>
      <c r="Q310" s="144"/>
      <c r="S310" s="144"/>
      <c r="T310" s="144"/>
    </row>
    <row r="311" spans="11:20" s="1" customFormat="1" ht="17.100000000000001" customHeight="1">
      <c r="K311" s="131"/>
      <c r="L311" s="131"/>
      <c r="M311" s="154"/>
      <c r="O311" s="120"/>
      <c r="Q311" s="144"/>
      <c r="S311" s="144"/>
      <c r="T311" s="144"/>
    </row>
    <row r="312" spans="11:20" s="1" customFormat="1" ht="17.100000000000001" customHeight="1">
      <c r="K312" s="131"/>
      <c r="L312" s="131"/>
      <c r="M312" s="154"/>
      <c r="O312" s="120"/>
      <c r="Q312" s="144"/>
      <c r="S312" s="144"/>
      <c r="T312" s="144"/>
    </row>
    <row r="313" spans="11:20" s="1" customFormat="1" ht="17.100000000000001" customHeight="1">
      <c r="K313" s="131"/>
      <c r="L313" s="131"/>
      <c r="M313" s="154"/>
      <c r="O313" s="120"/>
      <c r="Q313" s="144"/>
      <c r="S313" s="144"/>
      <c r="T313" s="144"/>
    </row>
    <row r="314" spans="11:20" s="1" customFormat="1" ht="17.100000000000001" customHeight="1">
      <c r="K314" s="131"/>
      <c r="L314" s="131"/>
      <c r="M314" s="154"/>
      <c r="O314" s="120"/>
      <c r="Q314" s="144"/>
      <c r="S314" s="144"/>
      <c r="T314" s="144"/>
    </row>
    <row r="315" spans="11:20" s="1" customFormat="1" ht="17.100000000000001" customHeight="1">
      <c r="K315" s="131"/>
      <c r="L315" s="131"/>
      <c r="M315" s="154"/>
      <c r="O315" s="120"/>
      <c r="Q315" s="144"/>
      <c r="S315" s="144"/>
      <c r="T315" s="144"/>
    </row>
    <row r="316" spans="11:20" s="1" customFormat="1" ht="17.100000000000001" customHeight="1">
      <c r="K316" s="131"/>
      <c r="L316" s="131"/>
      <c r="M316" s="154"/>
      <c r="O316" s="120"/>
      <c r="Q316" s="144"/>
      <c r="S316" s="144"/>
      <c r="T316" s="144"/>
    </row>
    <row r="317" spans="11:20" s="1" customFormat="1" ht="17.100000000000001" customHeight="1">
      <c r="K317" s="131"/>
      <c r="L317" s="131"/>
      <c r="M317" s="154"/>
      <c r="O317" s="120"/>
      <c r="Q317" s="144"/>
      <c r="S317" s="144"/>
      <c r="T317" s="144"/>
    </row>
    <row r="318" spans="11:20" s="1" customFormat="1" ht="17.100000000000001" customHeight="1">
      <c r="K318" s="131"/>
      <c r="L318" s="131"/>
      <c r="M318" s="154"/>
      <c r="O318" s="120"/>
      <c r="Q318" s="144"/>
      <c r="S318" s="144"/>
      <c r="T318" s="144"/>
    </row>
    <row r="319" spans="11:20" s="1" customFormat="1" ht="17.100000000000001" customHeight="1">
      <c r="K319" s="131"/>
      <c r="L319" s="131"/>
      <c r="M319" s="154"/>
      <c r="O319" s="120"/>
      <c r="Q319" s="144"/>
      <c r="S319" s="144"/>
      <c r="T319" s="144"/>
    </row>
    <row r="320" spans="11:20" s="1" customFormat="1" ht="17.100000000000001" customHeight="1">
      <c r="K320" s="131"/>
      <c r="L320" s="131"/>
      <c r="M320" s="154"/>
      <c r="O320" s="120"/>
      <c r="Q320" s="144"/>
      <c r="S320" s="144"/>
      <c r="T320" s="144"/>
    </row>
    <row r="321" spans="11:20" s="1" customFormat="1" ht="17.100000000000001" customHeight="1">
      <c r="K321" s="131"/>
      <c r="L321" s="131"/>
      <c r="M321" s="154"/>
      <c r="O321" s="120"/>
      <c r="Q321" s="144"/>
      <c r="S321" s="144"/>
      <c r="T321" s="144"/>
    </row>
    <row r="322" spans="11:20" s="1" customFormat="1" ht="17.100000000000001" customHeight="1">
      <c r="K322" s="131"/>
      <c r="L322" s="131"/>
      <c r="M322" s="154"/>
      <c r="O322" s="120"/>
      <c r="Q322" s="144"/>
      <c r="S322" s="144"/>
      <c r="T322" s="144"/>
    </row>
    <row r="323" spans="11:20" s="1" customFormat="1" ht="17.100000000000001" customHeight="1">
      <c r="K323" s="131"/>
      <c r="L323" s="131"/>
      <c r="M323" s="154"/>
      <c r="O323" s="120"/>
      <c r="Q323" s="144"/>
      <c r="S323" s="144"/>
      <c r="T323" s="144"/>
    </row>
    <row r="324" spans="11:20" s="1" customFormat="1" ht="17.100000000000001" customHeight="1">
      <c r="K324" s="131"/>
      <c r="L324" s="131"/>
      <c r="M324" s="154"/>
      <c r="O324" s="120"/>
      <c r="Q324" s="144"/>
      <c r="S324" s="144"/>
      <c r="T324" s="144"/>
    </row>
    <row r="325" spans="11:20" s="1" customFormat="1" ht="17.100000000000001" customHeight="1">
      <c r="K325" s="131"/>
      <c r="L325" s="131"/>
      <c r="M325" s="154"/>
      <c r="O325" s="120"/>
      <c r="Q325" s="144"/>
      <c r="S325" s="144"/>
      <c r="T325" s="144"/>
    </row>
    <row r="326" spans="11:20" s="1" customFormat="1" ht="17.100000000000001" customHeight="1">
      <c r="K326" s="131"/>
      <c r="L326" s="131"/>
      <c r="M326" s="154"/>
      <c r="O326" s="120"/>
      <c r="Q326" s="144"/>
      <c r="S326" s="144"/>
      <c r="T326" s="144"/>
    </row>
    <row r="327" spans="11:20" s="1" customFormat="1" ht="17.100000000000001" customHeight="1">
      <c r="K327" s="131"/>
      <c r="L327" s="131"/>
      <c r="M327" s="154"/>
      <c r="O327" s="120"/>
      <c r="Q327" s="144"/>
      <c r="S327" s="144"/>
      <c r="T327" s="144"/>
    </row>
    <row r="328" spans="11:20" s="1" customFormat="1" ht="17.100000000000001" customHeight="1">
      <c r="K328" s="131"/>
      <c r="L328" s="131"/>
      <c r="M328" s="154"/>
      <c r="O328" s="120"/>
      <c r="Q328" s="144"/>
      <c r="S328" s="144"/>
      <c r="T328" s="144"/>
    </row>
    <row r="329" spans="11:20" s="1" customFormat="1" ht="17.100000000000001" customHeight="1">
      <c r="K329" s="131"/>
      <c r="L329" s="131"/>
      <c r="M329" s="154"/>
      <c r="O329" s="120"/>
      <c r="Q329" s="144"/>
      <c r="S329" s="144"/>
      <c r="T329" s="144"/>
    </row>
    <row r="330" spans="11:20" s="1" customFormat="1" ht="17.100000000000001" customHeight="1">
      <c r="K330" s="131"/>
      <c r="L330" s="131"/>
      <c r="M330" s="154"/>
      <c r="O330" s="120"/>
      <c r="Q330" s="144"/>
      <c r="S330" s="144"/>
      <c r="T330" s="144"/>
    </row>
    <row r="331" spans="11:20" s="1" customFormat="1" ht="17.100000000000001" customHeight="1">
      <c r="K331" s="131"/>
      <c r="L331" s="131"/>
      <c r="M331" s="154"/>
      <c r="O331" s="120"/>
      <c r="Q331" s="144"/>
      <c r="S331" s="144"/>
      <c r="T331" s="144"/>
    </row>
    <row r="332" spans="11:20" s="1" customFormat="1" ht="17.100000000000001" customHeight="1">
      <c r="K332" s="131"/>
      <c r="L332" s="131"/>
      <c r="M332" s="154"/>
      <c r="O332" s="120"/>
      <c r="Q332" s="144"/>
      <c r="S332" s="144"/>
      <c r="T332" s="144"/>
    </row>
    <row r="333" spans="11:20" s="1" customFormat="1" ht="17.100000000000001" customHeight="1">
      <c r="K333" s="131"/>
      <c r="L333" s="131"/>
      <c r="M333" s="154"/>
      <c r="O333" s="120"/>
      <c r="Q333" s="144"/>
      <c r="S333" s="144"/>
      <c r="T333" s="144"/>
    </row>
    <row r="334" spans="11:20" s="1" customFormat="1" ht="17.100000000000001" customHeight="1">
      <c r="K334" s="131"/>
      <c r="L334" s="131"/>
      <c r="M334" s="154"/>
      <c r="O334" s="120"/>
      <c r="Q334" s="144"/>
      <c r="S334" s="144"/>
      <c r="T334" s="144"/>
    </row>
    <row r="335" spans="11:20" s="1" customFormat="1" ht="17.100000000000001" customHeight="1">
      <c r="K335" s="131"/>
      <c r="L335" s="131"/>
      <c r="M335" s="154"/>
      <c r="O335" s="120"/>
      <c r="Q335" s="144"/>
      <c r="S335" s="144"/>
      <c r="T335" s="144"/>
    </row>
    <row r="336" spans="11:20" s="1" customFormat="1" ht="17.100000000000001" customHeight="1">
      <c r="K336" s="131"/>
      <c r="L336" s="131"/>
      <c r="M336" s="154"/>
      <c r="O336" s="120"/>
      <c r="Q336" s="144"/>
      <c r="S336" s="144"/>
      <c r="T336" s="144"/>
    </row>
    <row r="337" spans="11:20" s="1" customFormat="1" ht="17.100000000000001" customHeight="1">
      <c r="K337" s="131"/>
      <c r="L337" s="131"/>
      <c r="M337" s="154"/>
      <c r="O337" s="120"/>
      <c r="Q337" s="144"/>
      <c r="S337" s="144"/>
      <c r="T337" s="144"/>
    </row>
    <row r="338" spans="11:20" s="1" customFormat="1" ht="17.100000000000001" customHeight="1">
      <c r="K338" s="131"/>
      <c r="L338" s="131"/>
      <c r="M338" s="154"/>
      <c r="O338" s="120"/>
      <c r="Q338" s="144"/>
      <c r="S338" s="144"/>
      <c r="T338" s="144"/>
    </row>
    <row r="339" spans="11:20" s="1" customFormat="1" ht="17.100000000000001" customHeight="1">
      <c r="K339" s="131"/>
      <c r="L339" s="131"/>
      <c r="M339" s="154"/>
      <c r="O339" s="120"/>
      <c r="Q339" s="144"/>
      <c r="S339" s="144"/>
      <c r="T339" s="144"/>
    </row>
    <row r="340" spans="11:20" s="1" customFormat="1" ht="17.100000000000001" customHeight="1">
      <c r="K340" s="131"/>
      <c r="L340" s="131"/>
      <c r="M340" s="154"/>
      <c r="O340" s="120"/>
      <c r="Q340" s="144"/>
      <c r="S340" s="144"/>
      <c r="T340" s="144"/>
    </row>
    <row r="341" spans="11:20" s="1" customFormat="1" ht="17.100000000000001" customHeight="1">
      <c r="K341" s="131"/>
      <c r="L341" s="131"/>
      <c r="M341" s="154"/>
      <c r="O341" s="120"/>
      <c r="Q341" s="144"/>
      <c r="S341" s="144"/>
      <c r="T341" s="144"/>
    </row>
    <row r="342" spans="11:20" s="1" customFormat="1" ht="17.100000000000001" customHeight="1">
      <c r="K342" s="131"/>
      <c r="L342" s="131"/>
      <c r="M342" s="154"/>
      <c r="O342" s="120"/>
      <c r="Q342" s="144"/>
      <c r="S342" s="144"/>
      <c r="T342" s="144"/>
    </row>
    <row r="343" spans="11:20" s="1" customFormat="1" ht="17.100000000000001" customHeight="1">
      <c r="K343" s="131"/>
      <c r="L343" s="131"/>
      <c r="M343" s="154"/>
      <c r="O343" s="120"/>
      <c r="Q343" s="144"/>
      <c r="S343" s="144"/>
      <c r="T343" s="144"/>
    </row>
    <row r="344" spans="11:20" s="1" customFormat="1" ht="17.100000000000001" customHeight="1">
      <c r="K344" s="131"/>
      <c r="L344" s="131"/>
      <c r="M344" s="154"/>
      <c r="O344" s="120"/>
      <c r="Q344" s="144"/>
      <c r="S344" s="144"/>
      <c r="T344" s="144"/>
    </row>
    <row r="345" spans="11:20" s="1" customFormat="1" ht="17.100000000000001" customHeight="1">
      <c r="K345" s="131"/>
      <c r="L345" s="131"/>
      <c r="M345" s="154"/>
      <c r="O345" s="120"/>
      <c r="Q345" s="144"/>
      <c r="S345" s="144"/>
      <c r="T345" s="144"/>
    </row>
    <row r="346" spans="11:20" s="1" customFormat="1" ht="17.100000000000001" customHeight="1">
      <c r="K346" s="131"/>
      <c r="L346" s="131"/>
      <c r="M346" s="154"/>
      <c r="O346" s="120"/>
      <c r="Q346" s="144"/>
      <c r="S346" s="144"/>
      <c r="T346" s="144"/>
    </row>
    <row r="347" spans="11:20" s="1" customFormat="1" ht="17.100000000000001" customHeight="1">
      <c r="K347" s="131"/>
      <c r="L347" s="131"/>
      <c r="M347" s="154"/>
      <c r="O347" s="120"/>
      <c r="Q347" s="144"/>
      <c r="S347" s="144"/>
      <c r="T347" s="144"/>
    </row>
    <row r="348" spans="11:20" s="1" customFormat="1" ht="17.100000000000001" customHeight="1">
      <c r="K348" s="131"/>
      <c r="L348" s="131"/>
      <c r="M348" s="154"/>
      <c r="O348" s="120"/>
      <c r="Q348" s="144"/>
      <c r="S348" s="144"/>
      <c r="T348" s="144"/>
    </row>
    <row r="349" spans="11:20" s="1" customFormat="1" ht="17.100000000000001" customHeight="1">
      <c r="K349" s="131"/>
      <c r="L349" s="131"/>
      <c r="M349" s="154"/>
      <c r="O349" s="120"/>
      <c r="Q349" s="144"/>
      <c r="S349" s="144"/>
      <c r="T349" s="144"/>
    </row>
    <row r="350" spans="11:20" s="1" customFormat="1" ht="17.100000000000001" customHeight="1">
      <c r="K350" s="131"/>
      <c r="L350" s="131"/>
      <c r="M350" s="154"/>
      <c r="O350" s="120"/>
      <c r="Q350" s="144"/>
      <c r="S350" s="144"/>
      <c r="T350" s="144"/>
    </row>
    <row r="351" spans="11:20" s="1" customFormat="1" ht="17.100000000000001" customHeight="1">
      <c r="K351" s="131"/>
      <c r="L351" s="131"/>
      <c r="M351" s="154"/>
      <c r="O351" s="120"/>
      <c r="Q351" s="144"/>
      <c r="S351" s="144"/>
      <c r="T351" s="144"/>
    </row>
    <row r="352" spans="11:20" s="1" customFormat="1" ht="17.100000000000001" customHeight="1">
      <c r="K352" s="131"/>
      <c r="L352" s="131"/>
      <c r="M352" s="154"/>
      <c r="O352" s="120"/>
      <c r="Q352" s="144"/>
      <c r="S352" s="144"/>
      <c r="T352" s="144"/>
    </row>
    <row r="353" spans="11:20" s="1" customFormat="1" ht="17.100000000000001" customHeight="1">
      <c r="K353" s="131"/>
      <c r="L353" s="131"/>
      <c r="M353" s="154"/>
      <c r="O353" s="120"/>
      <c r="Q353" s="144"/>
      <c r="S353" s="144"/>
      <c r="T353" s="144"/>
    </row>
    <row r="354" spans="11:20" s="1" customFormat="1" ht="17.100000000000001" customHeight="1">
      <c r="K354" s="131"/>
      <c r="L354" s="131"/>
      <c r="M354" s="154"/>
      <c r="O354" s="120"/>
      <c r="Q354" s="144"/>
      <c r="S354" s="144"/>
      <c r="T354" s="144"/>
    </row>
    <row r="355" spans="11:20" s="1" customFormat="1" ht="17.100000000000001" customHeight="1">
      <c r="K355" s="131"/>
      <c r="L355" s="131"/>
      <c r="M355" s="154"/>
      <c r="O355" s="120"/>
      <c r="Q355" s="144"/>
      <c r="S355" s="144"/>
      <c r="T355" s="144"/>
    </row>
    <row r="356" spans="11:20" s="1" customFormat="1" ht="17.100000000000001" customHeight="1">
      <c r="K356" s="131"/>
      <c r="L356" s="131"/>
      <c r="M356" s="154"/>
      <c r="O356" s="120"/>
      <c r="Q356" s="144"/>
      <c r="S356" s="144"/>
      <c r="T356" s="144"/>
    </row>
    <row r="357" spans="11:20" s="1" customFormat="1" ht="17.100000000000001" customHeight="1">
      <c r="K357" s="131"/>
      <c r="L357" s="131"/>
      <c r="M357" s="154"/>
      <c r="O357" s="120"/>
      <c r="Q357" s="144"/>
      <c r="S357" s="144"/>
      <c r="T357" s="144"/>
    </row>
    <row r="358" spans="11:20" s="1" customFormat="1" ht="17.100000000000001" customHeight="1">
      <c r="K358" s="131"/>
      <c r="L358" s="131"/>
      <c r="M358" s="154"/>
      <c r="O358" s="120"/>
      <c r="Q358" s="144"/>
      <c r="S358" s="144"/>
      <c r="T358" s="144"/>
    </row>
    <row r="359" spans="11:20" s="1" customFormat="1" ht="17.100000000000001" customHeight="1">
      <c r="K359" s="131"/>
      <c r="L359" s="131"/>
      <c r="M359" s="154"/>
      <c r="O359" s="120"/>
      <c r="Q359" s="144"/>
      <c r="S359" s="144"/>
      <c r="T359" s="144"/>
    </row>
    <row r="360" spans="11:20" s="1" customFormat="1" ht="17.100000000000001" customHeight="1">
      <c r="K360" s="131"/>
      <c r="L360" s="131"/>
      <c r="M360" s="154"/>
      <c r="O360" s="120"/>
      <c r="Q360" s="144"/>
      <c r="S360" s="144"/>
      <c r="T360" s="144"/>
    </row>
    <row r="361" spans="11:20" s="1" customFormat="1" ht="17.100000000000001" customHeight="1">
      <c r="K361" s="131"/>
      <c r="L361" s="131"/>
      <c r="M361" s="154"/>
      <c r="O361" s="120"/>
      <c r="Q361" s="144"/>
      <c r="S361" s="144"/>
      <c r="T361" s="144"/>
    </row>
    <row r="362" spans="11:20" s="1" customFormat="1" ht="17.100000000000001" customHeight="1">
      <c r="K362" s="131"/>
      <c r="L362" s="131"/>
      <c r="M362" s="154"/>
      <c r="O362" s="120"/>
      <c r="Q362" s="144"/>
      <c r="S362" s="144"/>
      <c r="T362" s="144"/>
    </row>
    <row r="363" spans="11:20" s="1" customFormat="1" ht="17.100000000000001" customHeight="1">
      <c r="K363" s="131"/>
      <c r="L363" s="131"/>
      <c r="M363" s="154"/>
      <c r="O363" s="120"/>
      <c r="Q363" s="144"/>
      <c r="S363" s="144"/>
      <c r="T363" s="144"/>
    </row>
    <row r="364" spans="11:20" s="1" customFormat="1" ht="17.100000000000001" customHeight="1">
      <c r="K364" s="131"/>
      <c r="L364" s="131"/>
      <c r="M364" s="154"/>
      <c r="O364" s="120"/>
      <c r="Q364" s="144"/>
      <c r="S364" s="144"/>
      <c r="T364" s="144"/>
    </row>
    <row r="365" spans="11:20" s="1" customFormat="1" ht="17.100000000000001" customHeight="1">
      <c r="K365" s="131"/>
      <c r="L365" s="131"/>
      <c r="M365" s="154"/>
      <c r="O365" s="120"/>
      <c r="Q365" s="144"/>
      <c r="S365" s="144"/>
      <c r="T365" s="144"/>
    </row>
    <row r="366" spans="11:20" s="1" customFormat="1" ht="17.100000000000001" customHeight="1">
      <c r="K366" s="131"/>
      <c r="L366" s="131"/>
      <c r="M366" s="154"/>
      <c r="O366" s="120"/>
      <c r="Q366" s="144"/>
      <c r="S366" s="144"/>
      <c r="T366" s="144"/>
    </row>
    <row r="367" spans="11:20" s="1" customFormat="1" ht="17.100000000000001" customHeight="1">
      <c r="K367" s="131"/>
      <c r="L367" s="131"/>
      <c r="M367" s="154"/>
      <c r="O367" s="120"/>
      <c r="Q367" s="144"/>
      <c r="S367" s="144"/>
      <c r="T367" s="144"/>
    </row>
    <row r="368" spans="11:20" s="1" customFormat="1" ht="17.100000000000001" customHeight="1">
      <c r="K368" s="131"/>
      <c r="L368" s="131"/>
      <c r="M368" s="154"/>
      <c r="O368" s="120"/>
      <c r="Q368" s="144"/>
      <c r="S368" s="144"/>
      <c r="T368" s="144"/>
    </row>
    <row r="369" spans="11:20" s="1" customFormat="1" ht="17.100000000000001" customHeight="1">
      <c r="K369" s="131"/>
      <c r="L369" s="131"/>
      <c r="M369" s="154"/>
      <c r="O369" s="120"/>
      <c r="Q369" s="144"/>
      <c r="S369" s="144"/>
      <c r="T369" s="144"/>
    </row>
    <row r="370" spans="11:20" s="1" customFormat="1" ht="17.100000000000001" customHeight="1">
      <c r="K370" s="131"/>
      <c r="L370" s="131"/>
      <c r="M370" s="154"/>
      <c r="O370" s="120"/>
      <c r="Q370" s="144"/>
      <c r="S370" s="144"/>
      <c r="T370" s="144"/>
    </row>
    <row r="371" spans="11:20" s="1" customFormat="1" ht="17.100000000000001" customHeight="1">
      <c r="K371" s="131"/>
      <c r="L371" s="131"/>
      <c r="M371" s="154"/>
      <c r="O371" s="120"/>
      <c r="Q371" s="144"/>
      <c r="S371" s="144"/>
      <c r="T371" s="144"/>
    </row>
    <row r="372" spans="11:20" s="1" customFormat="1" ht="17.100000000000001" customHeight="1">
      <c r="K372" s="131"/>
      <c r="L372" s="131"/>
      <c r="M372" s="154"/>
      <c r="O372" s="120"/>
      <c r="Q372" s="144"/>
      <c r="S372" s="144"/>
      <c r="T372" s="144"/>
    </row>
    <row r="373" spans="11:20" s="1" customFormat="1" ht="17.100000000000001" customHeight="1">
      <c r="K373" s="131"/>
      <c r="L373" s="131"/>
      <c r="M373" s="154"/>
      <c r="O373" s="120"/>
      <c r="Q373" s="144"/>
      <c r="S373" s="144"/>
      <c r="T373" s="144"/>
    </row>
    <row r="374" spans="11:20" s="1" customFormat="1" ht="17.100000000000001" customHeight="1">
      <c r="K374" s="131"/>
      <c r="L374" s="131"/>
      <c r="M374" s="154"/>
      <c r="O374" s="120"/>
      <c r="Q374" s="144"/>
      <c r="S374" s="144"/>
      <c r="T374" s="144"/>
    </row>
    <row r="375" spans="11:20" s="1" customFormat="1" ht="17.100000000000001" customHeight="1">
      <c r="K375" s="131"/>
      <c r="L375" s="131"/>
      <c r="M375" s="154"/>
      <c r="O375" s="120"/>
      <c r="Q375" s="144"/>
      <c r="S375" s="144"/>
      <c r="T375" s="144"/>
    </row>
    <row r="376" spans="11:20" s="1" customFormat="1" ht="17.100000000000001" customHeight="1">
      <c r="K376" s="131"/>
      <c r="L376" s="131"/>
      <c r="M376" s="154"/>
      <c r="O376" s="120"/>
      <c r="Q376" s="144"/>
      <c r="S376" s="144"/>
      <c r="T376" s="144"/>
    </row>
    <row r="377" spans="11:20" s="1" customFormat="1" ht="17.100000000000001" customHeight="1">
      <c r="K377" s="131"/>
      <c r="L377" s="131"/>
      <c r="M377" s="154"/>
      <c r="O377" s="120"/>
      <c r="Q377" s="144"/>
      <c r="S377" s="144"/>
      <c r="T377" s="144"/>
    </row>
    <row r="378" spans="11:20" s="1" customFormat="1" ht="17.100000000000001" customHeight="1">
      <c r="K378" s="131"/>
      <c r="L378" s="131"/>
      <c r="M378" s="154"/>
      <c r="O378" s="120"/>
      <c r="Q378" s="144"/>
      <c r="S378" s="144"/>
      <c r="T378" s="144"/>
    </row>
    <row r="379" spans="11:20" s="1" customFormat="1" ht="17.100000000000001" customHeight="1">
      <c r="K379" s="131"/>
      <c r="L379" s="131"/>
      <c r="M379" s="154"/>
      <c r="O379" s="120"/>
      <c r="Q379" s="144"/>
      <c r="S379" s="144"/>
      <c r="T379" s="144"/>
    </row>
    <row r="380" spans="11:20" s="1" customFormat="1" ht="17.100000000000001" customHeight="1">
      <c r="K380" s="131"/>
      <c r="L380" s="131"/>
      <c r="M380" s="154"/>
      <c r="O380" s="120"/>
      <c r="Q380" s="144"/>
      <c r="S380" s="144"/>
      <c r="T380" s="144"/>
    </row>
    <row r="381" spans="11:20" s="1" customFormat="1" ht="17.100000000000001" customHeight="1">
      <c r="K381" s="131"/>
      <c r="L381" s="131"/>
      <c r="M381" s="154"/>
      <c r="O381" s="120"/>
      <c r="Q381" s="144"/>
      <c r="S381" s="144"/>
      <c r="T381" s="144"/>
    </row>
    <row r="382" spans="11:20" s="1" customFormat="1" ht="17.100000000000001" customHeight="1">
      <c r="K382" s="131"/>
      <c r="L382" s="131"/>
      <c r="M382" s="154"/>
      <c r="O382" s="120"/>
      <c r="Q382" s="144"/>
      <c r="S382" s="144"/>
      <c r="T382" s="144"/>
    </row>
    <row r="383" spans="11:20" s="1" customFormat="1" ht="17.100000000000001" customHeight="1">
      <c r="K383" s="131"/>
      <c r="L383" s="131"/>
      <c r="M383" s="154"/>
      <c r="O383" s="120"/>
      <c r="Q383" s="144"/>
      <c r="S383" s="144"/>
      <c r="T383" s="144"/>
    </row>
    <row r="384" spans="11:20" s="1" customFormat="1" ht="17.100000000000001" customHeight="1">
      <c r="K384" s="131"/>
      <c r="L384" s="131"/>
      <c r="M384" s="154"/>
      <c r="O384" s="120"/>
      <c r="Q384" s="144"/>
      <c r="S384" s="144"/>
      <c r="T384" s="144"/>
    </row>
    <row r="385" spans="11:20" s="1" customFormat="1" ht="17.100000000000001" customHeight="1">
      <c r="K385" s="131"/>
      <c r="L385" s="131"/>
      <c r="M385" s="154"/>
      <c r="O385" s="120"/>
      <c r="Q385" s="144"/>
      <c r="S385" s="144"/>
      <c r="T385" s="144"/>
    </row>
    <row r="386" spans="11:20" s="1" customFormat="1" ht="17.100000000000001" customHeight="1">
      <c r="K386" s="131"/>
      <c r="L386" s="131"/>
      <c r="M386" s="154"/>
      <c r="O386" s="120"/>
      <c r="Q386" s="144"/>
      <c r="S386" s="144"/>
      <c r="T386" s="144"/>
    </row>
    <row r="387" spans="11:20" s="1" customFormat="1" ht="17.100000000000001" customHeight="1">
      <c r="K387" s="131"/>
      <c r="L387" s="131"/>
      <c r="M387" s="154"/>
      <c r="O387" s="120"/>
      <c r="Q387" s="144"/>
      <c r="S387" s="144"/>
      <c r="T387" s="144"/>
    </row>
    <row r="388" spans="11:20" s="1" customFormat="1" ht="17.100000000000001" customHeight="1">
      <c r="K388" s="131"/>
      <c r="L388" s="131"/>
      <c r="M388" s="154"/>
      <c r="O388" s="120"/>
      <c r="Q388" s="144"/>
      <c r="S388" s="144"/>
      <c r="T388" s="144"/>
    </row>
    <row r="389" spans="11:20" s="1" customFormat="1" ht="17.100000000000001" customHeight="1">
      <c r="K389" s="131"/>
      <c r="L389" s="131"/>
      <c r="M389" s="154"/>
      <c r="O389" s="120"/>
      <c r="Q389" s="144"/>
      <c r="S389" s="144"/>
      <c r="T389" s="144"/>
    </row>
    <row r="390" spans="11:20" s="1" customFormat="1" ht="17.100000000000001" customHeight="1">
      <c r="K390" s="131"/>
      <c r="L390" s="131"/>
      <c r="M390" s="154"/>
      <c r="O390" s="120"/>
      <c r="Q390" s="144"/>
      <c r="S390" s="144"/>
      <c r="T390" s="144"/>
    </row>
    <row r="391" spans="11:20" s="1" customFormat="1" ht="17.100000000000001" customHeight="1">
      <c r="K391" s="131"/>
      <c r="L391" s="131"/>
      <c r="M391" s="154"/>
      <c r="O391" s="120"/>
      <c r="Q391" s="144"/>
      <c r="S391" s="144"/>
      <c r="T391" s="144"/>
    </row>
    <row r="392" spans="11:20" s="1" customFormat="1" ht="17.100000000000001" customHeight="1">
      <c r="K392" s="131"/>
      <c r="L392" s="131"/>
      <c r="M392" s="154"/>
      <c r="O392" s="120"/>
      <c r="Q392" s="144"/>
      <c r="S392" s="144"/>
      <c r="T392" s="144"/>
    </row>
    <row r="393" spans="11:20" s="1" customFormat="1" ht="17.100000000000001" customHeight="1">
      <c r="K393" s="131"/>
      <c r="L393" s="131"/>
      <c r="M393" s="154"/>
      <c r="O393" s="120"/>
      <c r="Q393" s="144"/>
      <c r="S393" s="144"/>
      <c r="T393" s="144"/>
    </row>
    <row r="394" spans="11:20" s="1" customFormat="1" ht="17.100000000000001" customHeight="1">
      <c r="K394" s="131"/>
      <c r="L394" s="131"/>
      <c r="M394" s="154"/>
      <c r="O394" s="120"/>
      <c r="Q394" s="144"/>
      <c r="S394" s="144"/>
      <c r="T394" s="144"/>
    </row>
    <row r="395" spans="11:20" s="1" customFormat="1" ht="17.100000000000001" customHeight="1">
      <c r="K395" s="131"/>
      <c r="L395" s="131"/>
      <c r="M395" s="154"/>
      <c r="O395" s="120"/>
      <c r="Q395" s="144"/>
      <c r="S395" s="144"/>
      <c r="T395" s="144"/>
    </row>
    <row r="396" spans="11:20" s="1" customFormat="1" ht="17.100000000000001" customHeight="1">
      <c r="K396" s="131"/>
      <c r="L396" s="131"/>
      <c r="M396" s="154"/>
      <c r="O396" s="120"/>
      <c r="Q396" s="144"/>
      <c r="S396" s="144"/>
      <c r="T396" s="144"/>
    </row>
    <row r="397" spans="11:20" s="1" customFormat="1" ht="17.100000000000001" customHeight="1">
      <c r="K397" s="131"/>
      <c r="L397" s="131"/>
      <c r="M397" s="154"/>
      <c r="O397" s="120"/>
      <c r="Q397" s="144"/>
      <c r="S397" s="144"/>
      <c r="T397" s="144"/>
    </row>
    <row r="398" spans="11:20" s="1" customFormat="1" ht="17.100000000000001" customHeight="1">
      <c r="K398" s="131"/>
      <c r="L398" s="131"/>
      <c r="M398" s="154"/>
      <c r="O398" s="120"/>
      <c r="Q398" s="144"/>
      <c r="S398" s="144"/>
      <c r="T398" s="144"/>
    </row>
    <row r="399" spans="11:20" s="1" customFormat="1" ht="17.100000000000001" customHeight="1">
      <c r="K399" s="131"/>
      <c r="L399" s="131"/>
      <c r="M399" s="154"/>
      <c r="O399" s="120"/>
      <c r="Q399" s="144"/>
      <c r="S399" s="144"/>
      <c r="T399" s="144"/>
    </row>
    <row r="400" spans="11:20" s="1" customFormat="1" ht="17.100000000000001" customHeight="1">
      <c r="K400" s="131"/>
      <c r="L400" s="131"/>
      <c r="M400" s="154"/>
      <c r="O400" s="120"/>
      <c r="Q400" s="144"/>
      <c r="S400" s="144"/>
      <c r="T400" s="144"/>
    </row>
    <row r="401" spans="11:20" s="1" customFormat="1" ht="17.100000000000001" customHeight="1">
      <c r="K401" s="131"/>
      <c r="L401" s="131"/>
      <c r="M401" s="154"/>
      <c r="O401" s="120"/>
      <c r="Q401" s="144"/>
      <c r="S401" s="144"/>
      <c r="T401" s="144"/>
    </row>
    <row r="402" spans="11:20" s="1" customFormat="1" ht="17.100000000000001" customHeight="1">
      <c r="K402" s="131"/>
      <c r="L402" s="131"/>
      <c r="M402" s="154"/>
      <c r="O402" s="120"/>
      <c r="Q402" s="144"/>
      <c r="S402" s="144"/>
      <c r="T402" s="144"/>
    </row>
    <row r="403" spans="11:20" s="1" customFormat="1" ht="17.100000000000001" customHeight="1">
      <c r="K403" s="131"/>
      <c r="L403" s="131"/>
      <c r="M403" s="154"/>
      <c r="O403" s="120"/>
      <c r="Q403" s="144"/>
      <c r="S403" s="144"/>
      <c r="T403" s="144"/>
    </row>
    <row r="404" spans="11:20" s="1" customFormat="1" ht="17.100000000000001" customHeight="1">
      <c r="K404" s="131"/>
      <c r="L404" s="131"/>
      <c r="M404" s="154"/>
      <c r="O404" s="120"/>
      <c r="Q404" s="144"/>
      <c r="S404" s="144"/>
      <c r="T404" s="144"/>
    </row>
    <row r="405" spans="11:20" s="1" customFormat="1" ht="17.100000000000001" customHeight="1">
      <c r="K405" s="131"/>
      <c r="L405" s="131"/>
      <c r="M405" s="154"/>
      <c r="O405" s="120"/>
      <c r="Q405" s="144"/>
      <c r="S405" s="144"/>
      <c r="T405" s="144"/>
    </row>
    <row r="406" spans="11:20" s="1" customFormat="1" ht="17.100000000000001" customHeight="1">
      <c r="K406" s="131"/>
      <c r="L406" s="131"/>
      <c r="M406" s="154"/>
      <c r="O406" s="120"/>
      <c r="Q406" s="144"/>
      <c r="S406" s="144"/>
      <c r="T406" s="144"/>
    </row>
    <row r="407" spans="11:20" s="1" customFormat="1" ht="17.100000000000001" customHeight="1">
      <c r="K407" s="131"/>
      <c r="L407" s="131"/>
      <c r="M407" s="154"/>
      <c r="O407" s="120"/>
      <c r="Q407" s="144"/>
      <c r="S407" s="144"/>
      <c r="T407" s="144"/>
    </row>
    <row r="408" spans="11:20" s="1" customFormat="1" ht="17.100000000000001" customHeight="1">
      <c r="K408" s="131"/>
      <c r="L408" s="131"/>
      <c r="M408" s="154"/>
      <c r="O408" s="120"/>
      <c r="Q408" s="144"/>
      <c r="S408" s="144"/>
      <c r="T408" s="144"/>
    </row>
    <row r="409" spans="11:20" s="1" customFormat="1" ht="17.100000000000001" customHeight="1">
      <c r="K409" s="131"/>
      <c r="L409" s="131"/>
      <c r="M409" s="154"/>
      <c r="O409" s="120"/>
      <c r="Q409" s="144"/>
      <c r="S409" s="144"/>
      <c r="T409" s="144"/>
    </row>
    <row r="410" spans="11:20" s="1" customFormat="1" ht="17.100000000000001" customHeight="1">
      <c r="K410" s="131"/>
      <c r="L410" s="131"/>
      <c r="M410" s="154"/>
      <c r="O410" s="120"/>
      <c r="Q410" s="144"/>
      <c r="S410" s="144"/>
      <c r="T410" s="144"/>
    </row>
    <row r="411" spans="11:20" s="1" customFormat="1" ht="17.100000000000001" customHeight="1">
      <c r="K411" s="131"/>
      <c r="L411" s="131"/>
      <c r="M411" s="154"/>
      <c r="O411" s="120"/>
      <c r="Q411" s="144"/>
      <c r="S411" s="144"/>
      <c r="T411" s="144"/>
    </row>
    <row r="412" spans="11:20" s="1" customFormat="1" ht="17.100000000000001" customHeight="1">
      <c r="K412" s="131"/>
      <c r="L412" s="131"/>
      <c r="M412" s="154"/>
      <c r="O412" s="120"/>
      <c r="Q412" s="144"/>
      <c r="S412" s="144"/>
      <c r="T412" s="144"/>
    </row>
    <row r="413" spans="11:20" s="1" customFormat="1" ht="17.100000000000001" customHeight="1">
      <c r="K413" s="131"/>
      <c r="L413" s="131"/>
      <c r="M413" s="154"/>
      <c r="O413" s="120"/>
      <c r="Q413" s="144"/>
      <c r="S413" s="144"/>
      <c r="T413" s="144"/>
    </row>
    <row r="414" spans="11:20" s="1" customFormat="1" ht="17.100000000000001" customHeight="1">
      <c r="K414" s="131"/>
      <c r="L414" s="131"/>
      <c r="M414" s="154"/>
      <c r="O414" s="120"/>
      <c r="Q414" s="144"/>
      <c r="S414" s="144"/>
      <c r="T414" s="144"/>
    </row>
    <row r="415" spans="11:20" s="1" customFormat="1" ht="17.100000000000001" customHeight="1">
      <c r="K415" s="131"/>
      <c r="L415" s="131"/>
      <c r="M415" s="154"/>
      <c r="O415" s="120"/>
      <c r="Q415" s="144"/>
      <c r="S415" s="144"/>
      <c r="T415" s="144"/>
    </row>
    <row r="416" spans="11:20" s="1" customFormat="1" ht="17.100000000000001" customHeight="1">
      <c r="K416" s="131"/>
      <c r="L416" s="131"/>
      <c r="M416" s="154"/>
      <c r="O416" s="120"/>
      <c r="Q416" s="144"/>
      <c r="S416" s="144"/>
      <c r="T416" s="144"/>
    </row>
    <row r="417" spans="11:20" s="1" customFormat="1" ht="17.100000000000001" customHeight="1">
      <c r="K417" s="131"/>
      <c r="L417" s="131"/>
      <c r="M417" s="154"/>
      <c r="O417" s="120"/>
      <c r="Q417" s="144"/>
      <c r="S417" s="144"/>
      <c r="T417" s="144"/>
    </row>
    <row r="418" spans="11:20" s="1" customFormat="1" ht="17.100000000000001" customHeight="1">
      <c r="K418" s="131"/>
      <c r="L418" s="131"/>
      <c r="M418" s="154"/>
      <c r="O418" s="120"/>
      <c r="Q418" s="144"/>
      <c r="S418" s="144"/>
      <c r="T418" s="144"/>
    </row>
    <row r="419" spans="11:20" s="1" customFormat="1" ht="17.100000000000001" customHeight="1">
      <c r="K419" s="131"/>
      <c r="L419" s="131"/>
      <c r="M419" s="154"/>
      <c r="O419" s="120"/>
      <c r="Q419" s="144"/>
      <c r="S419" s="144"/>
      <c r="T419" s="144"/>
    </row>
    <row r="420" spans="11:20" s="1" customFormat="1" ht="17.100000000000001" customHeight="1">
      <c r="K420" s="131"/>
      <c r="L420" s="131"/>
      <c r="M420" s="154"/>
      <c r="O420" s="120"/>
      <c r="Q420" s="144"/>
      <c r="S420" s="144"/>
      <c r="T420" s="144"/>
    </row>
    <row r="421" spans="11:20" s="1" customFormat="1" ht="17.100000000000001" customHeight="1">
      <c r="K421" s="131"/>
      <c r="L421" s="131"/>
      <c r="M421" s="154"/>
      <c r="O421" s="120"/>
      <c r="Q421" s="144"/>
      <c r="S421" s="144"/>
      <c r="T421" s="144"/>
    </row>
    <row r="422" spans="11:20" s="1" customFormat="1" ht="17.100000000000001" customHeight="1">
      <c r="K422" s="131"/>
      <c r="L422" s="131"/>
      <c r="M422" s="154"/>
      <c r="O422" s="120"/>
      <c r="Q422" s="144"/>
      <c r="S422" s="144"/>
      <c r="T422" s="144"/>
    </row>
    <row r="423" spans="11:20" s="1" customFormat="1" ht="17.100000000000001" customHeight="1">
      <c r="K423" s="131"/>
      <c r="L423" s="131"/>
      <c r="M423" s="154"/>
      <c r="O423" s="120"/>
      <c r="Q423" s="144"/>
      <c r="S423" s="144"/>
      <c r="T423" s="144"/>
    </row>
    <row r="424" spans="11:20" s="1" customFormat="1" ht="17.100000000000001" customHeight="1">
      <c r="K424" s="131"/>
      <c r="L424" s="131"/>
      <c r="M424" s="154"/>
      <c r="O424" s="120"/>
      <c r="Q424" s="144"/>
      <c r="S424" s="144"/>
      <c r="T424" s="144"/>
    </row>
    <row r="425" spans="11:20" s="1" customFormat="1" ht="17.100000000000001" customHeight="1">
      <c r="K425" s="131"/>
      <c r="L425" s="131"/>
      <c r="M425" s="154"/>
      <c r="O425" s="120"/>
      <c r="Q425" s="144"/>
      <c r="S425" s="144"/>
      <c r="T425" s="144"/>
    </row>
    <row r="426" spans="11:20" s="1" customFormat="1" ht="17.100000000000001" customHeight="1">
      <c r="K426" s="131"/>
      <c r="L426" s="131"/>
      <c r="M426" s="154"/>
      <c r="O426" s="120"/>
      <c r="Q426" s="144"/>
      <c r="S426" s="144"/>
      <c r="T426" s="144"/>
    </row>
    <row r="427" spans="11:20" s="1" customFormat="1" ht="17.100000000000001" customHeight="1">
      <c r="K427" s="131"/>
      <c r="L427" s="131"/>
      <c r="M427" s="154"/>
      <c r="O427" s="120"/>
      <c r="Q427" s="144"/>
      <c r="S427" s="144"/>
      <c r="T427" s="144"/>
    </row>
    <row r="428" spans="11:20" s="1" customFormat="1" ht="17.100000000000001" customHeight="1">
      <c r="K428" s="131"/>
      <c r="L428" s="131"/>
      <c r="M428" s="154"/>
      <c r="O428" s="120"/>
      <c r="Q428" s="144"/>
      <c r="S428" s="144"/>
      <c r="T428" s="144"/>
    </row>
    <row r="429" spans="11:20" s="1" customFormat="1" ht="17.100000000000001" customHeight="1">
      <c r="K429" s="131"/>
      <c r="L429" s="131"/>
      <c r="M429" s="154"/>
      <c r="O429" s="120"/>
      <c r="Q429" s="144"/>
      <c r="S429" s="144"/>
      <c r="T429" s="144"/>
    </row>
    <row r="430" spans="11:20" s="1" customFormat="1" ht="17.100000000000001" customHeight="1">
      <c r="K430" s="131"/>
      <c r="L430" s="131"/>
      <c r="M430" s="154"/>
      <c r="O430" s="120"/>
      <c r="Q430" s="144"/>
      <c r="S430" s="144"/>
      <c r="T430" s="144"/>
    </row>
    <row r="431" spans="11:20" s="1" customFormat="1" ht="17.100000000000001" customHeight="1">
      <c r="K431" s="131"/>
      <c r="L431" s="131"/>
      <c r="M431" s="154"/>
      <c r="O431" s="120"/>
      <c r="Q431" s="144"/>
      <c r="S431" s="144"/>
      <c r="T431" s="144"/>
    </row>
    <row r="432" spans="11:20" s="1" customFormat="1" ht="17.100000000000001" customHeight="1">
      <c r="K432" s="131"/>
      <c r="L432" s="131"/>
      <c r="M432" s="154"/>
      <c r="O432" s="120"/>
      <c r="Q432" s="144"/>
      <c r="S432" s="144"/>
      <c r="T432" s="144"/>
    </row>
    <row r="433" spans="11:20" s="1" customFormat="1" ht="17.100000000000001" customHeight="1">
      <c r="K433" s="131"/>
      <c r="L433" s="131"/>
      <c r="M433" s="154"/>
      <c r="O433" s="120"/>
      <c r="Q433" s="144"/>
      <c r="S433" s="144"/>
      <c r="T433" s="144"/>
    </row>
    <row r="434" spans="11:20" s="1" customFormat="1" ht="17.100000000000001" customHeight="1">
      <c r="K434" s="131"/>
      <c r="L434" s="131"/>
      <c r="M434" s="154"/>
      <c r="O434" s="120"/>
      <c r="Q434" s="144"/>
      <c r="S434" s="144"/>
      <c r="T434" s="144"/>
    </row>
    <row r="435" spans="11:20" s="1" customFormat="1" ht="17.100000000000001" customHeight="1">
      <c r="K435" s="131"/>
      <c r="L435" s="131"/>
      <c r="M435" s="154"/>
      <c r="O435" s="120"/>
      <c r="Q435" s="144"/>
      <c r="S435" s="144"/>
      <c r="T435" s="144"/>
    </row>
    <row r="436" spans="11:20" s="1" customFormat="1" ht="17.100000000000001" customHeight="1">
      <c r="K436" s="131"/>
      <c r="L436" s="131"/>
      <c r="M436" s="154"/>
      <c r="O436" s="120"/>
      <c r="Q436" s="144"/>
      <c r="S436" s="144"/>
      <c r="T436" s="144"/>
    </row>
    <row r="437" spans="11:20" s="1" customFormat="1" ht="17.100000000000001" customHeight="1">
      <c r="K437" s="131"/>
      <c r="L437" s="131"/>
      <c r="M437" s="154"/>
      <c r="O437" s="120"/>
      <c r="Q437" s="144"/>
      <c r="S437" s="144"/>
      <c r="T437" s="144"/>
    </row>
    <row r="438" spans="11:20" s="1" customFormat="1" ht="17.100000000000001" customHeight="1">
      <c r="K438" s="131"/>
      <c r="L438" s="131"/>
      <c r="M438" s="154"/>
      <c r="O438" s="120"/>
      <c r="Q438" s="144"/>
      <c r="S438" s="144"/>
      <c r="T438" s="144"/>
    </row>
    <row r="439" spans="11:20" s="1" customFormat="1" ht="17.100000000000001" customHeight="1">
      <c r="K439" s="131"/>
      <c r="L439" s="131"/>
      <c r="M439" s="154"/>
      <c r="O439" s="120"/>
      <c r="Q439" s="144"/>
      <c r="S439" s="144"/>
      <c r="T439" s="144"/>
    </row>
    <row r="440" spans="11:20" s="1" customFormat="1" ht="17.100000000000001" customHeight="1">
      <c r="K440" s="131"/>
      <c r="L440" s="131"/>
      <c r="M440" s="154"/>
      <c r="O440" s="120"/>
      <c r="Q440" s="144"/>
      <c r="S440" s="144"/>
      <c r="T440" s="144"/>
    </row>
    <row r="441" spans="11:20" s="1" customFormat="1" ht="17.100000000000001" customHeight="1">
      <c r="K441" s="131"/>
      <c r="L441" s="131"/>
      <c r="M441" s="154"/>
      <c r="O441" s="120"/>
      <c r="Q441" s="144"/>
      <c r="S441" s="144"/>
      <c r="T441" s="144"/>
    </row>
    <row r="442" spans="11:20" s="1" customFormat="1" ht="17.100000000000001" customHeight="1">
      <c r="K442" s="131"/>
      <c r="L442" s="131"/>
      <c r="M442" s="154"/>
      <c r="O442" s="120"/>
      <c r="Q442" s="144"/>
      <c r="S442" s="144"/>
      <c r="T442" s="144"/>
    </row>
    <row r="443" spans="11:20" s="1" customFormat="1" ht="17.100000000000001" customHeight="1">
      <c r="K443" s="131"/>
      <c r="L443" s="131"/>
      <c r="M443" s="154"/>
      <c r="O443" s="120"/>
      <c r="Q443" s="144"/>
      <c r="S443" s="144"/>
      <c r="T443" s="144"/>
    </row>
    <row r="444" spans="11:20" s="1" customFormat="1" ht="17.100000000000001" customHeight="1">
      <c r="K444" s="131"/>
      <c r="L444" s="131"/>
      <c r="M444" s="154"/>
      <c r="O444" s="120"/>
      <c r="Q444" s="144"/>
      <c r="S444" s="144"/>
      <c r="T444" s="144"/>
    </row>
    <row r="445" spans="11:20" s="1" customFormat="1" ht="17.100000000000001" customHeight="1">
      <c r="K445" s="131"/>
      <c r="L445" s="131"/>
      <c r="M445" s="154"/>
      <c r="O445" s="120"/>
      <c r="Q445" s="144"/>
      <c r="S445" s="144"/>
      <c r="T445" s="144"/>
    </row>
    <row r="446" spans="11:20" s="1" customFormat="1" ht="17.100000000000001" customHeight="1">
      <c r="K446" s="131"/>
      <c r="L446" s="131"/>
      <c r="M446" s="154"/>
      <c r="O446" s="120"/>
      <c r="Q446" s="144"/>
      <c r="S446" s="144"/>
      <c r="T446" s="144"/>
    </row>
    <row r="447" spans="11:20" s="1" customFormat="1" ht="17.100000000000001" customHeight="1">
      <c r="K447" s="131"/>
      <c r="L447" s="131"/>
      <c r="M447" s="154"/>
      <c r="O447" s="120"/>
      <c r="Q447" s="144"/>
      <c r="S447" s="144"/>
      <c r="T447" s="144"/>
    </row>
    <row r="448" spans="11:20" s="1" customFormat="1" ht="17.100000000000001" customHeight="1">
      <c r="K448" s="131"/>
      <c r="L448" s="131"/>
      <c r="M448" s="154"/>
      <c r="O448" s="120"/>
      <c r="Q448" s="144"/>
      <c r="S448" s="144"/>
      <c r="T448" s="144"/>
    </row>
    <row r="449" spans="11:20" s="1" customFormat="1" ht="17.100000000000001" customHeight="1">
      <c r="K449" s="131"/>
      <c r="L449" s="131"/>
      <c r="M449" s="154"/>
      <c r="O449" s="120"/>
      <c r="Q449" s="144"/>
      <c r="S449" s="144"/>
      <c r="T449" s="144"/>
    </row>
    <row r="450" spans="11:20" s="1" customFormat="1" ht="17.100000000000001" customHeight="1">
      <c r="K450" s="131"/>
      <c r="L450" s="131"/>
      <c r="M450" s="154"/>
      <c r="O450" s="120"/>
      <c r="Q450" s="144"/>
      <c r="S450" s="144"/>
      <c r="T450" s="144"/>
    </row>
    <row r="451" spans="11:20" s="1" customFormat="1" ht="17.100000000000001" customHeight="1">
      <c r="K451" s="131"/>
      <c r="L451" s="131"/>
      <c r="M451" s="154"/>
      <c r="O451" s="120"/>
      <c r="Q451" s="144"/>
      <c r="S451" s="144"/>
      <c r="T451" s="144"/>
    </row>
    <row r="452" spans="11:20" s="1" customFormat="1" ht="17.100000000000001" customHeight="1">
      <c r="K452" s="131"/>
      <c r="L452" s="131"/>
      <c r="M452" s="154"/>
      <c r="O452" s="120"/>
      <c r="Q452" s="144"/>
      <c r="S452" s="144"/>
      <c r="T452" s="144"/>
    </row>
    <row r="453" spans="11:20" s="1" customFormat="1" ht="17.100000000000001" customHeight="1">
      <c r="K453" s="131"/>
      <c r="L453" s="131"/>
      <c r="M453" s="154"/>
      <c r="O453" s="120"/>
      <c r="Q453" s="144"/>
      <c r="S453" s="144"/>
      <c r="T453" s="144"/>
    </row>
    <row r="454" spans="11:20" s="1" customFormat="1" ht="17.100000000000001" customHeight="1">
      <c r="K454" s="131"/>
      <c r="L454" s="131"/>
      <c r="M454" s="154"/>
      <c r="O454" s="120"/>
      <c r="Q454" s="144"/>
      <c r="S454" s="144"/>
      <c r="T454" s="144"/>
    </row>
    <row r="455" spans="11:20" s="1" customFormat="1" ht="17.100000000000001" customHeight="1">
      <c r="K455" s="131"/>
      <c r="L455" s="131"/>
      <c r="M455" s="154"/>
      <c r="O455" s="120"/>
      <c r="Q455" s="144"/>
      <c r="S455" s="144"/>
      <c r="T455" s="144"/>
    </row>
    <row r="456" spans="11:20" s="1" customFormat="1" ht="17.100000000000001" customHeight="1">
      <c r="K456" s="131"/>
      <c r="L456" s="131"/>
      <c r="M456" s="154"/>
      <c r="O456" s="120"/>
      <c r="Q456" s="144"/>
      <c r="S456" s="144"/>
      <c r="T456" s="144"/>
    </row>
    <row r="457" spans="11:20" s="1" customFormat="1" ht="17.100000000000001" customHeight="1">
      <c r="K457" s="131"/>
      <c r="L457" s="131"/>
      <c r="M457" s="154"/>
      <c r="O457" s="120"/>
      <c r="Q457" s="144"/>
      <c r="S457" s="144"/>
      <c r="T457" s="144"/>
    </row>
    <row r="458" spans="11:20" s="1" customFormat="1" ht="17.100000000000001" customHeight="1">
      <c r="K458" s="131"/>
      <c r="L458" s="131"/>
      <c r="M458" s="154"/>
      <c r="O458" s="120"/>
      <c r="Q458" s="144"/>
      <c r="S458" s="144"/>
      <c r="T458" s="144"/>
    </row>
    <row r="459" spans="11:20" s="1" customFormat="1" ht="17.100000000000001" customHeight="1">
      <c r="K459" s="131"/>
      <c r="L459" s="131"/>
      <c r="M459" s="154"/>
      <c r="O459" s="120"/>
      <c r="Q459" s="144"/>
      <c r="S459" s="144"/>
      <c r="T459" s="144"/>
    </row>
    <row r="460" spans="11:20" s="1" customFormat="1" ht="17.100000000000001" customHeight="1">
      <c r="K460" s="131"/>
      <c r="L460" s="131"/>
      <c r="M460" s="154"/>
      <c r="O460" s="120"/>
      <c r="Q460" s="144"/>
      <c r="S460" s="144"/>
      <c r="T460" s="144"/>
    </row>
    <row r="461" spans="11:20" s="1" customFormat="1" ht="17.100000000000001" customHeight="1">
      <c r="K461" s="131"/>
      <c r="L461" s="131"/>
      <c r="M461" s="154"/>
      <c r="O461" s="120"/>
      <c r="Q461" s="144"/>
      <c r="S461" s="144"/>
      <c r="T461" s="144"/>
    </row>
    <row r="462" spans="11:20" s="1" customFormat="1" ht="17.100000000000001" customHeight="1">
      <c r="K462" s="131"/>
      <c r="L462" s="131"/>
      <c r="M462" s="154"/>
      <c r="O462" s="120"/>
      <c r="Q462" s="144"/>
      <c r="S462" s="144"/>
      <c r="T462" s="144"/>
    </row>
    <row r="463" spans="11:20" s="1" customFormat="1" ht="17.100000000000001" customHeight="1">
      <c r="K463" s="131"/>
      <c r="L463" s="131"/>
      <c r="M463" s="154"/>
      <c r="O463" s="120"/>
      <c r="Q463" s="144"/>
      <c r="S463" s="144"/>
      <c r="T463" s="144"/>
    </row>
    <row r="464" spans="11:20" s="1" customFormat="1" ht="17.100000000000001" customHeight="1">
      <c r="K464" s="131"/>
      <c r="L464" s="131"/>
      <c r="M464" s="154"/>
      <c r="O464" s="120"/>
      <c r="Q464" s="144"/>
      <c r="S464" s="144"/>
      <c r="T464" s="144"/>
    </row>
    <row r="465" spans="11:20" s="1" customFormat="1" ht="17.100000000000001" customHeight="1">
      <c r="K465" s="131"/>
      <c r="L465" s="131"/>
      <c r="M465" s="154"/>
      <c r="O465" s="120"/>
      <c r="Q465" s="144"/>
      <c r="S465" s="144"/>
      <c r="T465" s="144"/>
    </row>
    <row r="466" spans="11:20" s="1" customFormat="1" ht="17.100000000000001" customHeight="1">
      <c r="K466" s="131"/>
      <c r="L466" s="131"/>
      <c r="M466" s="154"/>
      <c r="O466" s="120"/>
      <c r="Q466" s="144"/>
      <c r="S466" s="144"/>
      <c r="T466" s="144"/>
    </row>
    <row r="467" spans="11:20" s="1" customFormat="1" ht="17.100000000000001" customHeight="1">
      <c r="K467" s="131"/>
      <c r="L467" s="131"/>
      <c r="M467" s="154"/>
      <c r="O467" s="120"/>
      <c r="Q467" s="144"/>
      <c r="S467" s="144"/>
      <c r="T467" s="144"/>
    </row>
    <row r="468" spans="11:20" s="1" customFormat="1" ht="17.100000000000001" customHeight="1">
      <c r="K468" s="131"/>
      <c r="L468" s="131"/>
      <c r="M468" s="154"/>
      <c r="O468" s="120"/>
      <c r="Q468" s="144"/>
      <c r="S468" s="144"/>
      <c r="T468" s="144"/>
    </row>
    <row r="469" spans="11:20" s="1" customFormat="1" ht="17.100000000000001" customHeight="1">
      <c r="K469" s="131"/>
      <c r="L469" s="131"/>
      <c r="M469" s="154"/>
      <c r="O469" s="120"/>
      <c r="Q469" s="144"/>
      <c r="S469" s="144"/>
      <c r="T469" s="144"/>
    </row>
    <row r="470" spans="11:20" s="1" customFormat="1" ht="17.100000000000001" customHeight="1">
      <c r="K470" s="131"/>
      <c r="L470" s="131"/>
      <c r="M470" s="154"/>
      <c r="O470" s="120"/>
      <c r="Q470" s="144"/>
      <c r="S470" s="144"/>
      <c r="T470" s="144"/>
    </row>
    <row r="471" spans="11:20" s="1" customFormat="1" ht="17.100000000000001" customHeight="1">
      <c r="K471" s="131"/>
      <c r="L471" s="131"/>
      <c r="M471" s="154"/>
      <c r="O471" s="120"/>
      <c r="Q471" s="144"/>
      <c r="S471" s="144"/>
      <c r="T471" s="144"/>
    </row>
    <row r="472" spans="11:20" s="1" customFormat="1" ht="17.100000000000001" customHeight="1">
      <c r="K472" s="131"/>
      <c r="L472" s="131"/>
      <c r="M472" s="154"/>
      <c r="O472" s="120"/>
      <c r="Q472" s="144"/>
      <c r="S472" s="144"/>
      <c r="T472" s="144"/>
    </row>
    <row r="473" spans="11:20" s="1" customFormat="1" ht="17.100000000000001" customHeight="1">
      <c r="K473" s="131"/>
      <c r="L473" s="131"/>
      <c r="M473" s="154"/>
      <c r="O473" s="120"/>
      <c r="Q473" s="144"/>
      <c r="S473" s="144"/>
      <c r="T473" s="144"/>
    </row>
    <row r="474" spans="11:20" s="1" customFormat="1" ht="17.100000000000001" customHeight="1">
      <c r="K474" s="131"/>
      <c r="L474" s="131"/>
      <c r="M474" s="154"/>
      <c r="O474" s="120"/>
      <c r="Q474" s="144"/>
      <c r="S474" s="144"/>
      <c r="T474" s="144"/>
    </row>
    <row r="475" spans="11:20" s="1" customFormat="1" ht="17.100000000000001" customHeight="1">
      <c r="K475" s="131"/>
      <c r="L475" s="131"/>
      <c r="M475" s="154"/>
      <c r="O475" s="120"/>
      <c r="Q475" s="144"/>
      <c r="S475" s="144"/>
      <c r="T475" s="144"/>
    </row>
    <row r="476" spans="11:20" s="1" customFormat="1" ht="17.100000000000001" customHeight="1">
      <c r="K476" s="131"/>
      <c r="L476" s="131"/>
      <c r="M476" s="154"/>
      <c r="O476" s="120"/>
      <c r="Q476" s="144"/>
      <c r="S476" s="144"/>
      <c r="T476" s="144"/>
    </row>
    <row r="477" spans="11:20" s="1" customFormat="1" ht="17.100000000000001" customHeight="1">
      <c r="K477" s="131"/>
      <c r="L477" s="131"/>
      <c r="M477" s="154"/>
      <c r="O477" s="120"/>
      <c r="Q477" s="144"/>
      <c r="S477" s="144"/>
      <c r="T477" s="144"/>
    </row>
    <row r="478" spans="11:20" s="1" customFormat="1" ht="17.100000000000001" customHeight="1">
      <c r="K478" s="131"/>
      <c r="L478" s="131"/>
      <c r="M478" s="154"/>
      <c r="O478" s="120"/>
      <c r="Q478" s="144"/>
      <c r="S478" s="144"/>
      <c r="T478" s="144"/>
    </row>
    <row r="479" spans="11:20" s="1" customFormat="1" ht="17.100000000000001" customHeight="1">
      <c r="K479" s="131"/>
      <c r="L479" s="131"/>
      <c r="M479" s="154"/>
      <c r="O479" s="120"/>
      <c r="Q479" s="144"/>
      <c r="S479" s="144"/>
      <c r="T479" s="144"/>
    </row>
    <row r="480" spans="11:20" s="1" customFormat="1" ht="17.100000000000001" customHeight="1">
      <c r="K480" s="131"/>
      <c r="L480" s="131"/>
      <c r="M480" s="154"/>
      <c r="O480" s="120"/>
      <c r="Q480" s="144"/>
      <c r="S480" s="144"/>
      <c r="T480" s="144"/>
    </row>
    <row r="481" spans="11:20" s="1" customFormat="1" ht="17.100000000000001" customHeight="1">
      <c r="K481" s="131"/>
      <c r="L481" s="131"/>
      <c r="M481" s="154"/>
      <c r="O481" s="120"/>
      <c r="Q481" s="144"/>
      <c r="S481" s="144"/>
      <c r="T481" s="144"/>
    </row>
    <row r="482" spans="11:20" s="1" customFormat="1" ht="17.100000000000001" customHeight="1">
      <c r="K482" s="131"/>
      <c r="L482" s="131"/>
      <c r="M482" s="154"/>
      <c r="O482" s="120"/>
      <c r="Q482" s="144"/>
      <c r="S482" s="144"/>
      <c r="T482" s="144"/>
    </row>
    <row r="483" spans="11:20" s="1" customFormat="1" ht="17.100000000000001" customHeight="1">
      <c r="K483" s="131"/>
      <c r="L483" s="131"/>
      <c r="M483" s="154"/>
      <c r="O483" s="120"/>
      <c r="Q483" s="144"/>
      <c r="S483" s="144"/>
      <c r="T483" s="144"/>
    </row>
    <row r="484" spans="11:20" s="1" customFormat="1" ht="17.100000000000001" customHeight="1">
      <c r="K484" s="131"/>
      <c r="L484" s="131"/>
      <c r="M484" s="154"/>
      <c r="O484" s="120"/>
      <c r="Q484" s="144"/>
      <c r="S484" s="144"/>
      <c r="T484" s="144"/>
    </row>
    <row r="485" spans="11:20" s="1" customFormat="1" ht="17.100000000000001" customHeight="1">
      <c r="K485" s="131"/>
      <c r="L485" s="131"/>
      <c r="M485" s="154"/>
      <c r="O485" s="120"/>
      <c r="Q485" s="144"/>
      <c r="S485" s="144"/>
      <c r="T485" s="144"/>
    </row>
    <row r="486" spans="11:20" s="1" customFormat="1" ht="17.100000000000001" customHeight="1">
      <c r="K486" s="131"/>
      <c r="L486" s="131"/>
      <c r="M486" s="154"/>
      <c r="O486" s="120"/>
      <c r="Q486" s="144"/>
      <c r="S486" s="144"/>
      <c r="T486" s="144"/>
    </row>
    <row r="487" spans="11:20" s="1" customFormat="1" ht="17.100000000000001" customHeight="1">
      <c r="K487" s="131"/>
      <c r="L487" s="131"/>
      <c r="M487" s="154"/>
      <c r="O487" s="120"/>
      <c r="Q487" s="144"/>
      <c r="S487" s="144"/>
      <c r="T487" s="144"/>
    </row>
    <row r="488" spans="11:20" s="1" customFormat="1" ht="17.100000000000001" customHeight="1">
      <c r="K488" s="131"/>
      <c r="L488" s="131"/>
      <c r="M488" s="154"/>
      <c r="O488" s="120"/>
      <c r="Q488" s="144"/>
      <c r="S488" s="144"/>
      <c r="T488" s="144"/>
    </row>
    <row r="489" spans="11:20" s="1" customFormat="1" ht="17.100000000000001" customHeight="1">
      <c r="K489" s="131"/>
      <c r="L489" s="131"/>
      <c r="M489" s="154"/>
      <c r="O489" s="120"/>
      <c r="Q489" s="144"/>
      <c r="S489" s="144"/>
      <c r="T489" s="144"/>
    </row>
    <row r="490" spans="11:20" s="1" customFormat="1" ht="17.100000000000001" customHeight="1">
      <c r="K490" s="131"/>
      <c r="L490" s="131"/>
      <c r="M490" s="154"/>
      <c r="O490" s="120"/>
      <c r="Q490" s="144"/>
      <c r="S490" s="144"/>
      <c r="T490" s="144"/>
    </row>
    <row r="491" spans="11:20" s="1" customFormat="1" ht="17.100000000000001" customHeight="1">
      <c r="K491" s="131"/>
      <c r="L491" s="131"/>
      <c r="M491" s="154"/>
      <c r="O491" s="120"/>
      <c r="Q491" s="144"/>
      <c r="S491" s="144"/>
      <c r="T491" s="144"/>
    </row>
    <row r="492" spans="11:20" s="1" customFormat="1" ht="17.100000000000001" customHeight="1">
      <c r="K492" s="131"/>
      <c r="L492" s="131"/>
      <c r="M492" s="154"/>
      <c r="O492" s="120"/>
      <c r="Q492" s="144"/>
      <c r="S492" s="144"/>
      <c r="T492" s="144"/>
    </row>
    <row r="493" spans="11:20" s="1" customFormat="1" ht="17.100000000000001" customHeight="1">
      <c r="K493" s="131"/>
      <c r="L493" s="131"/>
      <c r="M493" s="154"/>
      <c r="O493" s="120"/>
      <c r="Q493" s="144"/>
      <c r="S493" s="144"/>
      <c r="T493" s="144"/>
    </row>
    <row r="494" spans="11:20" s="1" customFormat="1" ht="17.100000000000001" customHeight="1">
      <c r="K494" s="131"/>
      <c r="L494" s="131"/>
      <c r="M494" s="154"/>
      <c r="O494" s="120"/>
      <c r="Q494" s="144"/>
      <c r="S494" s="144"/>
      <c r="T494" s="144"/>
    </row>
    <row r="495" spans="11:20" s="1" customFormat="1" ht="17.100000000000001" customHeight="1">
      <c r="K495" s="131"/>
      <c r="L495" s="131"/>
      <c r="M495" s="154"/>
      <c r="O495" s="120"/>
      <c r="Q495" s="144"/>
      <c r="S495" s="144"/>
      <c r="T495" s="144"/>
    </row>
    <row r="496" spans="11:20" s="1" customFormat="1" ht="17.100000000000001" customHeight="1">
      <c r="K496" s="131"/>
      <c r="L496" s="131"/>
      <c r="M496" s="154"/>
      <c r="O496" s="120"/>
      <c r="Q496" s="144"/>
      <c r="S496" s="144"/>
      <c r="T496" s="144"/>
    </row>
    <row r="497" spans="11:20" s="1" customFormat="1" ht="17.100000000000001" customHeight="1">
      <c r="K497" s="131"/>
      <c r="L497" s="131"/>
      <c r="M497" s="154"/>
      <c r="O497" s="120"/>
      <c r="Q497" s="144"/>
      <c r="S497" s="144"/>
      <c r="T497" s="144"/>
    </row>
    <row r="498" spans="11:20" s="1" customFormat="1" ht="17.100000000000001" customHeight="1">
      <c r="K498" s="131"/>
      <c r="L498" s="131"/>
      <c r="M498" s="154"/>
      <c r="O498" s="120"/>
      <c r="Q498" s="144"/>
      <c r="S498" s="144"/>
      <c r="T498" s="144"/>
    </row>
    <row r="499" spans="11:20" s="1" customFormat="1" ht="17.100000000000001" customHeight="1">
      <c r="K499" s="131"/>
      <c r="L499" s="131"/>
      <c r="M499" s="154"/>
      <c r="O499" s="120"/>
      <c r="Q499" s="144"/>
      <c r="S499" s="144"/>
      <c r="T499" s="144"/>
    </row>
    <row r="500" spans="11:20" s="1" customFormat="1" ht="17.100000000000001" customHeight="1">
      <c r="K500" s="131"/>
      <c r="L500" s="131"/>
      <c r="M500" s="154"/>
      <c r="O500" s="120"/>
      <c r="Q500" s="144"/>
      <c r="S500" s="144"/>
      <c r="T500" s="144"/>
    </row>
    <row r="501" spans="11:20" s="1" customFormat="1" ht="17.100000000000001" customHeight="1">
      <c r="K501" s="131"/>
      <c r="L501" s="131"/>
      <c r="M501" s="154"/>
      <c r="O501" s="120"/>
      <c r="Q501" s="144"/>
      <c r="S501" s="144"/>
      <c r="T501" s="144"/>
    </row>
    <row r="502" spans="11:20" s="1" customFormat="1" ht="17.100000000000001" customHeight="1">
      <c r="K502" s="131"/>
      <c r="L502" s="131"/>
      <c r="M502" s="154"/>
      <c r="O502" s="120"/>
      <c r="Q502" s="144"/>
      <c r="S502" s="144"/>
      <c r="T502" s="144"/>
    </row>
    <row r="503" spans="11:20" s="1" customFormat="1" ht="17.100000000000001" customHeight="1">
      <c r="K503" s="131"/>
      <c r="L503" s="131"/>
      <c r="M503" s="154"/>
      <c r="O503" s="120"/>
      <c r="Q503" s="144"/>
      <c r="S503" s="144"/>
      <c r="T503" s="144"/>
    </row>
    <row r="504" spans="11:20" s="1" customFormat="1" ht="17.100000000000001" customHeight="1">
      <c r="K504" s="131"/>
      <c r="L504" s="131"/>
      <c r="M504" s="154"/>
      <c r="O504" s="120"/>
      <c r="Q504" s="144"/>
      <c r="S504" s="144"/>
      <c r="T504" s="144"/>
    </row>
    <row r="505" spans="11:20" s="1" customFormat="1" ht="17.100000000000001" customHeight="1">
      <c r="K505" s="131"/>
      <c r="L505" s="131"/>
      <c r="M505" s="154"/>
      <c r="O505" s="120"/>
      <c r="Q505" s="144"/>
      <c r="S505" s="144"/>
      <c r="T505" s="144"/>
    </row>
    <row r="506" spans="11:20" s="1" customFormat="1" ht="17.100000000000001" customHeight="1">
      <c r="K506" s="131"/>
      <c r="L506" s="131"/>
      <c r="M506" s="154"/>
      <c r="O506" s="120"/>
      <c r="Q506" s="144"/>
      <c r="S506" s="144"/>
      <c r="T506" s="144"/>
    </row>
    <row r="507" spans="11:20" s="1" customFormat="1" ht="17.100000000000001" customHeight="1">
      <c r="K507" s="131"/>
      <c r="L507" s="131"/>
      <c r="M507" s="154"/>
      <c r="O507" s="120"/>
      <c r="Q507" s="144"/>
      <c r="S507" s="144"/>
      <c r="T507" s="144"/>
    </row>
    <row r="508" spans="11:20" s="1" customFormat="1" ht="17.100000000000001" customHeight="1">
      <c r="K508" s="131"/>
      <c r="L508" s="131"/>
      <c r="M508" s="154"/>
      <c r="O508" s="120"/>
      <c r="Q508" s="144"/>
      <c r="S508" s="144"/>
      <c r="T508" s="144"/>
    </row>
    <row r="509" spans="11:20" s="1" customFormat="1" ht="17.100000000000001" customHeight="1">
      <c r="K509" s="131"/>
      <c r="L509" s="131"/>
      <c r="M509" s="154"/>
      <c r="O509" s="120"/>
      <c r="Q509" s="144"/>
      <c r="S509" s="144"/>
      <c r="T509" s="144"/>
    </row>
    <row r="510" spans="11:20" s="1" customFormat="1" ht="17.100000000000001" customHeight="1">
      <c r="K510" s="131"/>
      <c r="L510" s="131"/>
      <c r="M510" s="154"/>
      <c r="O510" s="120"/>
      <c r="Q510" s="144"/>
      <c r="S510" s="144"/>
      <c r="T510" s="144"/>
    </row>
    <row r="511" spans="11:20" s="1" customFormat="1" ht="17.100000000000001" customHeight="1">
      <c r="K511" s="131"/>
      <c r="L511" s="131"/>
      <c r="M511" s="154"/>
      <c r="O511" s="120"/>
      <c r="Q511" s="144"/>
      <c r="S511" s="144"/>
      <c r="T511" s="144"/>
    </row>
    <row r="512" spans="11:20" s="1" customFormat="1" ht="17.100000000000001" customHeight="1">
      <c r="K512" s="131"/>
      <c r="L512" s="131"/>
      <c r="M512" s="154"/>
      <c r="O512" s="120"/>
      <c r="Q512" s="144"/>
      <c r="S512" s="144"/>
      <c r="T512" s="144"/>
    </row>
    <row r="513" spans="11:20" s="1" customFormat="1" ht="17.100000000000001" customHeight="1">
      <c r="K513" s="131"/>
      <c r="L513" s="131"/>
      <c r="M513" s="154"/>
      <c r="O513" s="120"/>
      <c r="Q513" s="144"/>
      <c r="S513" s="144"/>
      <c r="T513" s="144"/>
    </row>
    <row r="514" spans="11:20" s="1" customFormat="1" ht="17.100000000000001" customHeight="1">
      <c r="K514" s="131"/>
      <c r="L514" s="131"/>
      <c r="M514" s="154"/>
      <c r="O514" s="120"/>
      <c r="Q514" s="144"/>
      <c r="S514" s="144"/>
      <c r="T514" s="144"/>
    </row>
    <row r="515" spans="11:20" s="1" customFormat="1" ht="17.100000000000001" customHeight="1">
      <c r="K515" s="131"/>
      <c r="L515" s="131"/>
      <c r="M515" s="154"/>
      <c r="O515" s="120"/>
      <c r="Q515" s="144"/>
      <c r="S515" s="144"/>
      <c r="T515" s="144"/>
    </row>
    <row r="516" spans="11:20" s="1" customFormat="1" ht="17.100000000000001" customHeight="1">
      <c r="K516" s="131"/>
      <c r="L516" s="131"/>
      <c r="M516" s="154"/>
      <c r="O516" s="120"/>
      <c r="Q516" s="144"/>
      <c r="S516" s="144"/>
      <c r="T516" s="144"/>
    </row>
    <row r="517" spans="11:20" s="1" customFormat="1" ht="17.100000000000001" customHeight="1">
      <c r="K517" s="131"/>
      <c r="L517" s="131"/>
      <c r="M517" s="154"/>
      <c r="O517" s="120"/>
      <c r="Q517" s="144"/>
      <c r="S517" s="144"/>
      <c r="T517" s="144"/>
    </row>
    <row r="518" spans="11:20" s="1" customFormat="1" ht="17.100000000000001" customHeight="1">
      <c r="K518" s="131"/>
      <c r="L518" s="131"/>
      <c r="M518" s="154"/>
      <c r="O518" s="120"/>
      <c r="Q518" s="144"/>
      <c r="S518" s="144"/>
      <c r="T518" s="144"/>
    </row>
    <row r="519" spans="11:20" s="1" customFormat="1" ht="17.100000000000001" customHeight="1">
      <c r="K519" s="131"/>
      <c r="L519" s="131"/>
      <c r="M519" s="154"/>
      <c r="O519" s="120"/>
      <c r="Q519" s="144"/>
      <c r="S519" s="144"/>
      <c r="T519" s="144"/>
    </row>
    <row r="520" spans="11:20" s="1" customFormat="1" ht="17.100000000000001" customHeight="1">
      <c r="K520" s="131"/>
      <c r="L520" s="131"/>
      <c r="M520" s="154"/>
      <c r="O520" s="120"/>
      <c r="Q520" s="144"/>
      <c r="S520" s="144"/>
      <c r="T520" s="144"/>
    </row>
    <row r="521" spans="11:20" s="1" customFormat="1" ht="17.100000000000001" customHeight="1">
      <c r="K521" s="131"/>
      <c r="L521" s="131"/>
      <c r="M521" s="154"/>
      <c r="O521" s="120"/>
      <c r="Q521" s="144"/>
      <c r="S521" s="144"/>
      <c r="T521" s="144"/>
    </row>
    <row r="522" spans="11:20" s="1" customFormat="1" ht="17.100000000000001" customHeight="1">
      <c r="K522" s="131"/>
      <c r="L522" s="131"/>
      <c r="M522" s="154"/>
      <c r="O522" s="120"/>
      <c r="Q522" s="144"/>
      <c r="S522" s="144"/>
      <c r="T522" s="144"/>
    </row>
    <row r="523" spans="11:20" s="1" customFormat="1" ht="17.100000000000001" customHeight="1">
      <c r="K523" s="131"/>
      <c r="L523" s="131"/>
      <c r="M523" s="154"/>
      <c r="O523" s="120"/>
      <c r="Q523" s="144"/>
      <c r="S523" s="144"/>
      <c r="T523" s="144"/>
    </row>
    <row r="524" spans="11:20" s="1" customFormat="1" ht="17.100000000000001" customHeight="1">
      <c r="K524" s="131"/>
      <c r="L524" s="131"/>
      <c r="M524" s="154"/>
      <c r="O524" s="120"/>
      <c r="Q524" s="144"/>
      <c r="S524" s="144"/>
      <c r="T524" s="144"/>
    </row>
    <row r="525" spans="11:20" s="1" customFormat="1" ht="17.100000000000001" customHeight="1">
      <c r="K525" s="131"/>
      <c r="L525" s="131"/>
      <c r="M525" s="154"/>
      <c r="O525" s="120"/>
      <c r="Q525" s="144"/>
      <c r="S525" s="144"/>
      <c r="T525" s="144"/>
    </row>
    <row r="526" spans="11:20" s="1" customFormat="1" ht="17.100000000000001" customHeight="1">
      <c r="K526" s="131"/>
      <c r="L526" s="131"/>
      <c r="M526" s="154"/>
      <c r="O526" s="120"/>
      <c r="Q526" s="144"/>
      <c r="S526" s="144"/>
      <c r="T526" s="144"/>
    </row>
    <row r="527" spans="11:20" s="1" customFormat="1" ht="17.100000000000001" customHeight="1">
      <c r="K527" s="131"/>
      <c r="L527" s="131"/>
      <c r="M527" s="154"/>
      <c r="O527" s="120"/>
      <c r="Q527" s="144"/>
      <c r="S527" s="144"/>
      <c r="T527" s="144"/>
    </row>
    <row r="528" spans="11:20" s="1" customFormat="1" ht="17.100000000000001" customHeight="1">
      <c r="K528" s="131"/>
      <c r="L528" s="131"/>
      <c r="M528" s="154"/>
      <c r="O528" s="120"/>
      <c r="Q528" s="144"/>
      <c r="S528" s="144"/>
      <c r="T528" s="144"/>
    </row>
    <row r="529" spans="11:20" s="1" customFormat="1" ht="17.100000000000001" customHeight="1">
      <c r="K529" s="131"/>
      <c r="L529" s="131"/>
      <c r="M529" s="154"/>
      <c r="O529" s="120"/>
      <c r="Q529" s="144"/>
      <c r="S529" s="144"/>
      <c r="T529" s="144"/>
    </row>
    <row r="530" spans="11:20" s="1" customFormat="1" ht="17.100000000000001" customHeight="1">
      <c r="K530" s="131"/>
      <c r="L530" s="131"/>
      <c r="M530" s="154"/>
      <c r="O530" s="120"/>
      <c r="Q530" s="144"/>
      <c r="S530" s="144"/>
      <c r="T530" s="144"/>
    </row>
    <row r="531" spans="11:20" s="1" customFormat="1" ht="17.100000000000001" customHeight="1">
      <c r="K531" s="131"/>
      <c r="L531" s="131"/>
      <c r="M531" s="154"/>
      <c r="O531" s="120"/>
      <c r="Q531" s="144"/>
      <c r="S531" s="144"/>
      <c r="T531" s="144"/>
    </row>
    <row r="532" spans="11:20" s="1" customFormat="1" ht="17.100000000000001" customHeight="1">
      <c r="K532" s="131"/>
      <c r="L532" s="131"/>
      <c r="M532" s="154"/>
      <c r="O532" s="120"/>
      <c r="Q532" s="144"/>
      <c r="S532" s="144"/>
      <c r="T532" s="144"/>
    </row>
    <row r="533" spans="11:20" s="1" customFormat="1" ht="17.100000000000001" customHeight="1">
      <c r="K533" s="131"/>
      <c r="L533" s="131"/>
      <c r="M533" s="154"/>
      <c r="O533" s="120"/>
      <c r="Q533" s="144"/>
      <c r="S533" s="144"/>
      <c r="T533" s="144"/>
    </row>
    <row r="534" spans="11:20" s="1" customFormat="1" ht="17.100000000000001" customHeight="1">
      <c r="K534" s="131"/>
      <c r="L534" s="131"/>
      <c r="M534" s="154"/>
      <c r="O534" s="120"/>
      <c r="Q534" s="144"/>
      <c r="S534" s="144"/>
      <c r="T534" s="144"/>
    </row>
    <row r="535" spans="11:20" s="1" customFormat="1" ht="17.100000000000001" customHeight="1">
      <c r="K535" s="131"/>
      <c r="L535" s="131"/>
      <c r="M535" s="154"/>
      <c r="O535" s="120"/>
      <c r="Q535" s="144"/>
      <c r="S535" s="144"/>
      <c r="T535" s="144"/>
    </row>
    <row r="536" spans="11:20" s="1" customFormat="1" ht="17.100000000000001" customHeight="1">
      <c r="K536" s="131"/>
      <c r="L536" s="131"/>
      <c r="M536" s="154"/>
      <c r="O536" s="120"/>
      <c r="Q536" s="144"/>
      <c r="S536" s="144"/>
      <c r="T536" s="144"/>
    </row>
    <row r="537" spans="11:20" s="1" customFormat="1" ht="17.100000000000001" customHeight="1">
      <c r="K537" s="131"/>
      <c r="L537" s="131"/>
      <c r="M537" s="154"/>
      <c r="O537" s="120"/>
      <c r="Q537" s="144"/>
      <c r="S537" s="144"/>
      <c r="T537" s="144"/>
    </row>
    <row r="538" spans="11:20" s="1" customFormat="1" ht="17.100000000000001" customHeight="1">
      <c r="K538" s="131"/>
      <c r="L538" s="131"/>
      <c r="M538" s="154"/>
      <c r="O538" s="120"/>
      <c r="Q538" s="144"/>
      <c r="S538" s="144"/>
      <c r="T538" s="144"/>
    </row>
    <row r="539" spans="11:20" s="1" customFormat="1" ht="17.100000000000001" customHeight="1">
      <c r="K539" s="131"/>
      <c r="L539" s="131"/>
      <c r="M539" s="154"/>
      <c r="O539" s="120"/>
      <c r="Q539" s="144"/>
      <c r="S539" s="144"/>
      <c r="T539" s="144"/>
    </row>
    <row r="540" spans="11:20" s="1" customFormat="1" ht="17.100000000000001" customHeight="1">
      <c r="K540" s="131"/>
      <c r="L540" s="131"/>
      <c r="M540" s="154"/>
      <c r="O540" s="120"/>
      <c r="Q540" s="144"/>
      <c r="S540" s="144"/>
      <c r="T540" s="144"/>
    </row>
    <row r="541" spans="11:20" s="1" customFormat="1" ht="17.100000000000001" customHeight="1">
      <c r="K541" s="131"/>
      <c r="L541" s="131"/>
      <c r="M541" s="154"/>
      <c r="O541" s="120"/>
      <c r="Q541" s="144"/>
      <c r="S541" s="144"/>
      <c r="T541" s="144"/>
    </row>
    <row r="542" spans="11:20" s="1" customFormat="1" ht="17.100000000000001" customHeight="1">
      <c r="K542" s="131"/>
      <c r="L542" s="131"/>
      <c r="M542" s="154"/>
      <c r="O542" s="120"/>
      <c r="Q542" s="144"/>
      <c r="S542" s="144"/>
      <c r="T542" s="144"/>
    </row>
    <row r="543" spans="11:20" s="1" customFormat="1" ht="17.100000000000001" customHeight="1">
      <c r="K543" s="131"/>
      <c r="L543" s="131"/>
      <c r="M543" s="154"/>
      <c r="O543" s="120"/>
      <c r="Q543" s="144"/>
      <c r="S543" s="144"/>
      <c r="T543" s="144"/>
    </row>
    <row r="544" spans="11:20" s="1" customFormat="1" ht="17.100000000000001" customHeight="1">
      <c r="K544" s="131"/>
      <c r="L544" s="131"/>
      <c r="M544" s="154"/>
      <c r="O544" s="120"/>
      <c r="Q544" s="144"/>
      <c r="S544" s="144"/>
      <c r="T544" s="144"/>
    </row>
    <row r="545" spans="11:20" s="1" customFormat="1" ht="17.100000000000001" customHeight="1">
      <c r="K545" s="131"/>
      <c r="L545" s="131"/>
      <c r="M545" s="154"/>
      <c r="O545" s="120"/>
      <c r="Q545" s="144"/>
      <c r="S545" s="144"/>
      <c r="T545" s="144"/>
    </row>
    <row r="546" spans="11:20" s="1" customFormat="1" ht="17.100000000000001" customHeight="1">
      <c r="K546" s="131"/>
      <c r="L546" s="131"/>
      <c r="M546" s="154"/>
      <c r="O546" s="120"/>
      <c r="Q546" s="144"/>
      <c r="S546" s="144"/>
      <c r="T546" s="144"/>
    </row>
    <row r="547" spans="11:20" s="1" customFormat="1" ht="17.100000000000001" customHeight="1">
      <c r="K547" s="131"/>
      <c r="L547" s="131"/>
      <c r="M547" s="154"/>
      <c r="O547" s="120"/>
      <c r="Q547" s="144"/>
      <c r="S547" s="144"/>
      <c r="T547" s="144"/>
    </row>
    <row r="548" spans="11:20" s="1" customFormat="1" ht="17.100000000000001" customHeight="1">
      <c r="K548" s="131"/>
      <c r="L548" s="131"/>
      <c r="M548" s="154"/>
      <c r="O548" s="120"/>
      <c r="Q548" s="144"/>
      <c r="S548" s="144"/>
      <c r="T548" s="144"/>
    </row>
    <row r="549" spans="11:20" s="1" customFormat="1" ht="17.100000000000001" customHeight="1">
      <c r="K549" s="131"/>
      <c r="L549" s="131"/>
      <c r="M549" s="154"/>
      <c r="O549" s="120"/>
      <c r="Q549" s="144"/>
      <c r="S549" s="144"/>
      <c r="T549" s="144"/>
    </row>
    <row r="550" spans="11:20" s="1" customFormat="1" ht="17.100000000000001" customHeight="1">
      <c r="K550" s="131"/>
      <c r="L550" s="131"/>
      <c r="M550" s="154"/>
      <c r="O550" s="120"/>
      <c r="Q550" s="144"/>
      <c r="S550" s="144"/>
      <c r="T550" s="144"/>
    </row>
    <row r="551" spans="11:20" s="1" customFormat="1" ht="17.100000000000001" customHeight="1">
      <c r="K551" s="131"/>
      <c r="L551" s="131"/>
      <c r="M551" s="154"/>
      <c r="O551" s="120"/>
      <c r="Q551" s="144"/>
      <c r="S551" s="144"/>
      <c r="T551" s="144"/>
    </row>
    <row r="552" spans="11:20" s="1" customFormat="1" ht="17.100000000000001" customHeight="1">
      <c r="K552" s="131"/>
      <c r="L552" s="131"/>
      <c r="M552" s="154"/>
      <c r="O552" s="120"/>
      <c r="Q552" s="144"/>
      <c r="S552" s="144"/>
      <c r="T552" s="144"/>
    </row>
    <row r="553" spans="11:20" s="1" customFormat="1" ht="17.100000000000001" customHeight="1">
      <c r="K553" s="131"/>
      <c r="L553" s="131"/>
      <c r="M553" s="154"/>
      <c r="O553" s="120"/>
      <c r="Q553" s="144"/>
      <c r="S553" s="144"/>
      <c r="T553" s="144"/>
    </row>
    <row r="554" spans="11:20" s="1" customFormat="1" ht="17.100000000000001" customHeight="1">
      <c r="K554" s="131"/>
      <c r="L554" s="131"/>
      <c r="M554" s="154"/>
      <c r="O554" s="120"/>
      <c r="Q554" s="144"/>
      <c r="S554" s="144"/>
      <c r="T554" s="144"/>
    </row>
    <row r="555" spans="11:20" s="1" customFormat="1" ht="17.100000000000001" customHeight="1">
      <c r="K555" s="131"/>
      <c r="L555" s="131"/>
      <c r="M555" s="154"/>
      <c r="O555" s="120"/>
      <c r="Q555" s="144"/>
      <c r="S555" s="144"/>
      <c r="T555" s="144"/>
    </row>
    <row r="556" spans="11:20" s="1" customFormat="1" ht="17.100000000000001" customHeight="1">
      <c r="K556" s="131"/>
      <c r="L556" s="131"/>
      <c r="M556" s="154"/>
      <c r="O556" s="120"/>
      <c r="Q556" s="144"/>
      <c r="S556" s="144"/>
      <c r="T556" s="144"/>
    </row>
    <row r="557" spans="11:20" s="1" customFormat="1" ht="17.100000000000001" customHeight="1">
      <c r="K557" s="131"/>
      <c r="L557" s="131"/>
      <c r="M557" s="154"/>
      <c r="O557" s="120"/>
      <c r="Q557" s="144"/>
      <c r="S557" s="144"/>
      <c r="T557" s="144"/>
    </row>
    <row r="558" spans="11:20" s="1" customFormat="1" ht="17.100000000000001" customHeight="1">
      <c r="K558" s="131"/>
      <c r="L558" s="131"/>
      <c r="M558" s="154"/>
      <c r="O558" s="120"/>
      <c r="Q558" s="144"/>
      <c r="S558" s="144"/>
      <c r="T558" s="144"/>
    </row>
    <row r="559" spans="11:20" s="1" customFormat="1" ht="17.100000000000001" customHeight="1">
      <c r="K559" s="131"/>
      <c r="L559" s="131"/>
      <c r="M559" s="154"/>
      <c r="O559" s="120"/>
      <c r="Q559" s="144"/>
      <c r="S559" s="144"/>
      <c r="T559" s="144"/>
    </row>
    <row r="560" spans="11:20" s="1" customFormat="1" ht="17.100000000000001" customHeight="1">
      <c r="K560" s="131"/>
      <c r="L560" s="131"/>
      <c r="M560" s="154"/>
      <c r="O560" s="120"/>
      <c r="Q560" s="144"/>
      <c r="S560" s="144"/>
      <c r="T560" s="144"/>
    </row>
    <row r="561" spans="11:20" s="1" customFormat="1" ht="17.100000000000001" customHeight="1">
      <c r="K561" s="131"/>
      <c r="L561" s="131"/>
      <c r="M561" s="154"/>
      <c r="O561" s="120"/>
      <c r="Q561" s="144"/>
      <c r="S561" s="144"/>
      <c r="T561" s="144"/>
    </row>
    <row r="562" spans="11:20" s="1" customFormat="1" ht="17.100000000000001" customHeight="1">
      <c r="K562" s="131"/>
      <c r="L562" s="131"/>
      <c r="M562" s="154"/>
      <c r="O562" s="120"/>
      <c r="Q562" s="144"/>
      <c r="S562" s="144"/>
      <c r="T562" s="144"/>
    </row>
    <row r="563" spans="11:20" s="1" customFormat="1" ht="17.100000000000001" customHeight="1">
      <c r="K563" s="131"/>
      <c r="L563" s="131"/>
      <c r="M563" s="154"/>
      <c r="O563" s="120"/>
      <c r="Q563" s="144"/>
      <c r="S563" s="144"/>
      <c r="T563" s="144"/>
    </row>
    <row r="564" spans="11:20" s="1" customFormat="1" ht="17.100000000000001" customHeight="1">
      <c r="K564" s="131"/>
      <c r="L564" s="131"/>
      <c r="M564" s="154"/>
      <c r="O564" s="120"/>
      <c r="Q564" s="144"/>
      <c r="S564" s="144"/>
      <c r="T564" s="144"/>
    </row>
    <row r="565" spans="11:20" s="1" customFormat="1" ht="17.100000000000001" customHeight="1">
      <c r="K565" s="131"/>
      <c r="L565" s="131"/>
      <c r="M565" s="154"/>
      <c r="O565" s="120"/>
      <c r="Q565" s="144"/>
      <c r="S565" s="144"/>
      <c r="T565" s="144"/>
    </row>
    <row r="566" spans="11:20" s="1" customFormat="1" ht="17.100000000000001" customHeight="1">
      <c r="K566" s="131"/>
      <c r="L566" s="131"/>
      <c r="M566" s="154"/>
      <c r="O566" s="120"/>
      <c r="Q566" s="144"/>
      <c r="S566" s="144"/>
      <c r="T566" s="144"/>
    </row>
    <row r="567" spans="11:20" s="1" customFormat="1" ht="17.100000000000001" customHeight="1">
      <c r="K567" s="131"/>
      <c r="L567" s="131"/>
      <c r="M567" s="154"/>
      <c r="O567" s="120"/>
      <c r="Q567" s="144"/>
      <c r="S567" s="144"/>
      <c r="T567" s="144"/>
    </row>
    <row r="568" spans="11:20" s="1" customFormat="1" ht="17.100000000000001" customHeight="1">
      <c r="K568" s="131"/>
      <c r="L568" s="131"/>
      <c r="M568" s="154"/>
      <c r="O568" s="120"/>
      <c r="Q568" s="144"/>
      <c r="S568" s="144"/>
      <c r="T568" s="144"/>
    </row>
    <row r="569" spans="11:20" s="1" customFormat="1" ht="17.100000000000001" customHeight="1">
      <c r="K569" s="131"/>
      <c r="L569" s="131"/>
      <c r="M569" s="154"/>
      <c r="O569" s="120"/>
      <c r="Q569" s="144"/>
      <c r="S569" s="144"/>
      <c r="T569" s="144"/>
    </row>
    <row r="570" spans="11:20" s="1" customFormat="1" ht="17.100000000000001" customHeight="1">
      <c r="K570" s="131"/>
      <c r="L570" s="131"/>
      <c r="M570" s="154"/>
      <c r="O570" s="120"/>
      <c r="Q570" s="144"/>
      <c r="S570" s="144"/>
      <c r="T570" s="144"/>
    </row>
    <row r="571" spans="11:20" s="1" customFormat="1" ht="17.100000000000001" customHeight="1">
      <c r="K571" s="131"/>
      <c r="L571" s="131"/>
      <c r="M571" s="154"/>
      <c r="O571" s="120"/>
      <c r="Q571" s="144"/>
      <c r="S571" s="144"/>
      <c r="T571" s="144"/>
    </row>
    <row r="572" spans="11:20" s="1" customFormat="1" ht="17.100000000000001" customHeight="1">
      <c r="K572" s="131"/>
      <c r="L572" s="131"/>
      <c r="M572" s="154"/>
      <c r="O572" s="120"/>
      <c r="Q572" s="144"/>
      <c r="S572" s="144"/>
      <c r="T572" s="144"/>
    </row>
    <row r="573" spans="11:20" s="1" customFormat="1" ht="17.100000000000001" customHeight="1">
      <c r="K573" s="131"/>
      <c r="L573" s="131"/>
      <c r="M573" s="154"/>
      <c r="O573" s="120"/>
      <c r="Q573" s="144"/>
      <c r="S573" s="144"/>
      <c r="T573" s="144"/>
    </row>
    <row r="574" spans="11:20" s="1" customFormat="1" ht="17.100000000000001" customHeight="1">
      <c r="K574" s="131"/>
      <c r="L574" s="131"/>
      <c r="M574" s="154"/>
      <c r="O574" s="120"/>
      <c r="Q574" s="144"/>
      <c r="S574" s="144"/>
      <c r="T574" s="144"/>
    </row>
    <row r="575" spans="11:20" s="1" customFormat="1" ht="17.100000000000001" customHeight="1">
      <c r="K575" s="131"/>
      <c r="L575" s="131"/>
      <c r="M575" s="154"/>
      <c r="O575" s="120"/>
      <c r="Q575" s="144"/>
      <c r="S575" s="144"/>
      <c r="T575" s="144"/>
    </row>
    <row r="576" spans="11:20" s="1" customFormat="1" ht="17.100000000000001" customHeight="1">
      <c r="K576" s="131"/>
      <c r="L576" s="131"/>
      <c r="M576" s="154"/>
      <c r="O576" s="120"/>
      <c r="Q576" s="144"/>
      <c r="S576" s="144"/>
      <c r="T576" s="144"/>
    </row>
    <row r="577" spans="11:20" s="1" customFormat="1" ht="17.100000000000001" customHeight="1">
      <c r="K577" s="131"/>
      <c r="L577" s="131"/>
      <c r="M577" s="154"/>
      <c r="O577" s="120"/>
      <c r="Q577" s="144"/>
      <c r="S577" s="144"/>
      <c r="T577" s="144"/>
    </row>
    <row r="578" spans="11:20" s="1" customFormat="1" ht="17.100000000000001" customHeight="1">
      <c r="K578" s="131"/>
      <c r="L578" s="131"/>
      <c r="M578" s="154"/>
      <c r="O578" s="120"/>
      <c r="Q578" s="144"/>
      <c r="S578" s="144"/>
      <c r="T578" s="144"/>
    </row>
    <row r="579" spans="11:20" s="1" customFormat="1" ht="17.100000000000001" customHeight="1">
      <c r="K579" s="131"/>
      <c r="L579" s="131"/>
      <c r="M579" s="154"/>
      <c r="O579" s="120"/>
      <c r="Q579" s="144"/>
      <c r="S579" s="144"/>
      <c r="T579" s="144"/>
    </row>
    <row r="580" spans="11:20" s="1" customFormat="1" ht="17.100000000000001" customHeight="1">
      <c r="K580" s="131"/>
      <c r="L580" s="131"/>
      <c r="M580" s="154"/>
      <c r="O580" s="120"/>
      <c r="Q580" s="144"/>
      <c r="S580" s="144"/>
      <c r="T580" s="144"/>
    </row>
    <row r="581" spans="11:20" s="1" customFormat="1" ht="17.100000000000001" customHeight="1">
      <c r="K581" s="131"/>
      <c r="L581" s="131"/>
      <c r="M581" s="154"/>
      <c r="O581" s="120"/>
      <c r="Q581" s="144"/>
      <c r="S581" s="144"/>
      <c r="T581" s="144"/>
    </row>
    <row r="582" spans="11:20" s="1" customFormat="1" ht="17.100000000000001" customHeight="1">
      <c r="K582" s="131"/>
      <c r="L582" s="131"/>
      <c r="M582" s="154"/>
      <c r="O582" s="120"/>
      <c r="Q582" s="144"/>
      <c r="S582" s="144"/>
      <c r="T582" s="144"/>
    </row>
    <row r="583" spans="11:20" s="1" customFormat="1" ht="17.100000000000001" customHeight="1">
      <c r="K583" s="131"/>
      <c r="L583" s="131"/>
      <c r="M583" s="154"/>
      <c r="O583" s="120"/>
      <c r="Q583" s="144"/>
      <c r="S583" s="144"/>
      <c r="T583" s="144"/>
    </row>
    <row r="584" spans="11:20" s="1" customFormat="1" ht="17.100000000000001" customHeight="1">
      <c r="K584" s="131"/>
      <c r="L584" s="131"/>
      <c r="M584" s="154"/>
      <c r="O584" s="120"/>
      <c r="Q584" s="144"/>
      <c r="S584" s="144"/>
      <c r="T584" s="144"/>
    </row>
    <row r="585" spans="11:20" s="1" customFormat="1" ht="17.100000000000001" customHeight="1">
      <c r="K585" s="131"/>
      <c r="L585" s="131"/>
      <c r="M585" s="154"/>
      <c r="O585" s="120"/>
      <c r="Q585" s="144"/>
      <c r="S585" s="144"/>
      <c r="T585" s="144"/>
    </row>
    <row r="586" spans="11:20" s="1" customFormat="1" ht="17.100000000000001" customHeight="1">
      <c r="K586" s="131"/>
      <c r="L586" s="131"/>
      <c r="M586" s="154"/>
      <c r="O586" s="120"/>
      <c r="Q586" s="144"/>
      <c r="S586" s="144"/>
      <c r="T586" s="144"/>
    </row>
    <row r="587" spans="11:20" s="1" customFormat="1" ht="17.100000000000001" customHeight="1">
      <c r="K587" s="131"/>
      <c r="L587" s="131"/>
      <c r="M587" s="154"/>
      <c r="O587" s="120"/>
      <c r="Q587" s="144"/>
      <c r="S587" s="144"/>
      <c r="T587" s="144"/>
    </row>
    <row r="588" spans="11:20" s="1" customFormat="1" ht="17.100000000000001" customHeight="1">
      <c r="K588" s="131"/>
      <c r="L588" s="131"/>
      <c r="M588" s="154"/>
      <c r="O588" s="120"/>
      <c r="Q588" s="144"/>
      <c r="S588" s="144"/>
      <c r="T588" s="144"/>
    </row>
    <row r="589" spans="11:20" s="1" customFormat="1" ht="17.100000000000001" customHeight="1">
      <c r="K589" s="131"/>
      <c r="L589" s="131"/>
      <c r="M589" s="154"/>
      <c r="O589" s="120"/>
      <c r="Q589" s="144"/>
      <c r="S589" s="144"/>
      <c r="T589" s="144"/>
    </row>
    <row r="590" spans="11:20" s="1" customFormat="1" ht="17.100000000000001" customHeight="1">
      <c r="K590" s="131"/>
      <c r="L590" s="131"/>
      <c r="M590" s="154"/>
      <c r="O590" s="120"/>
      <c r="Q590" s="144"/>
      <c r="S590" s="144"/>
      <c r="T590" s="144"/>
    </row>
    <row r="591" spans="11:20" s="1" customFormat="1" ht="17.100000000000001" customHeight="1">
      <c r="K591" s="131"/>
      <c r="L591" s="131"/>
      <c r="M591" s="154"/>
      <c r="O591" s="120"/>
      <c r="Q591" s="144"/>
      <c r="S591" s="144"/>
      <c r="T591" s="144"/>
    </row>
    <row r="592" spans="11:20" s="1" customFormat="1" ht="17.100000000000001" customHeight="1">
      <c r="K592" s="131"/>
      <c r="L592" s="131"/>
      <c r="M592" s="154"/>
      <c r="O592" s="120"/>
      <c r="Q592" s="144"/>
      <c r="S592" s="144"/>
      <c r="T592" s="144"/>
    </row>
    <row r="593" spans="11:20" s="1" customFormat="1" ht="17.100000000000001" customHeight="1">
      <c r="K593" s="131"/>
      <c r="L593" s="131"/>
      <c r="M593" s="154"/>
      <c r="O593" s="120"/>
      <c r="Q593" s="144"/>
      <c r="S593" s="144"/>
      <c r="T593" s="144"/>
    </row>
    <row r="594" spans="11:20" s="1" customFormat="1" ht="17.100000000000001" customHeight="1">
      <c r="K594" s="131"/>
      <c r="L594" s="131"/>
      <c r="M594" s="154"/>
      <c r="O594" s="120"/>
      <c r="Q594" s="144"/>
      <c r="S594" s="144"/>
      <c r="T594" s="144"/>
    </row>
    <row r="595" spans="11:20" s="1" customFormat="1" ht="17.100000000000001" customHeight="1">
      <c r="K595" s="131"/>
      <c r="L595" s="131"/>
      <c r="M595" s="154"/>
      <c r="O595" s="120"/>
      <c r="Q595" s="144"/>
      <c r="S595" s="144"/>
      <c r="T595" s="144"/>
    </row>
    <row r="596" spans="11:20" s="1" customFormat="1" ht="17.100000000000001" customHeight="1">
      <c r="K596" s="131"/>
      <c r="L596" s="131"/>
      <c r="M596" s="154"/>
      <c r="O596" s="120"/>
      <c r="Q596" s="144"/>
      <c r="S596" s="144"/>
      <c r="T596" s="144"/>
    </row>
    <row r="597" spans="11:20" s="1" customFormat="1" ht="17.100000000000001" customHeight="1">
      <c r="K597" s="131"/>
      <c r="L597" s="131"/>
      <c r="M597" s="154"/>
      <c r="O597" s="120"/>
      <c r="Q597" s="144"/>
      <c r="S597" s="144"/>
      <c r="T597" s="144"/>
    </row>
    <row r="598" spans="11:20" s="1" customFormat="1" ht="17.100000000000001" customHeight="1">
      <c r="K598" s="131"/>
      <c r="L598" s="131"/>
      <c r="M598" s="154"/>
      <c r="O598" s="120"/>
      <c r="Q598" s="144"/>
      <c r="S598" s="144"/>
      <c r="T598" s="144"/>
    </row>
    <row r="599" spans="11:20" s="1" customFormat="1" ht="17.100000000000001" customHeight="1">
      <c r="K599" s="131"/>
      <c r="L599" s="131"/>
      <c r="M599" s="154"/>
      <c r="O599" s="120"/>
      <c r="Q599" s="144"/>
      <c r="S599" s="144"/>
      <c r="T599" s="144"/>
    </row>
    <row r="600" spans="11:20" s="1" customFormat="1" ht="17.100000000000001" customHeight="1">
      <c r="K600" s="131"/>
      <c r="L600" s="131"/>
      <c r="M600" s="154"/>
      <c r="O600" s="120"/>
      <c r="Q600" s="144"/>
      <c r="S600" s="144"/>
      <c r="T600" s="144"/>
    </row>
    <row r="601" spans="11:20" s="1" customFormat="1" ht="17.100000000000001" customHeight="1">
      <c r="K601" s="131"/>
      <c r="L601" s="131"/>
      <c r="M601" s="154"/>
      <c r="O601" s="120"/>
      <c r="Q601" s="144"/>
      <c r="S601" s="144"/>
      <c r="T601" s="144"/>
    </row>
    <row r="602" spans="11:20" s="1" customFormat="1" ht="17.100000000000001" customHeight="1">
      <c r="K602" s="131"/>
      <c r="L602" s="131"/>
      <c r="M602" s="154"/>
      <c r="O602" s="120"/>
      <c r="Q602" s="144"/>
      <c r="S602" s="144"/>
      <c r="T602" s="144"/>
    </row>
    <row r="603" spans="11:20" s="1" customFormat="1" ht="17.100000000000001" customHeight="1">
      <c r="K603" s="131"/>
      <c r="L603" s="131"/>
      <c r="M603" s="154"/>
      <c r="O603" s="120"/>
      <c r="Q603" s="144"/>
      <c r="S603" s="144"/>
      <c r="T603" s="144"/>
    </row>
    <row r="604" spans="11:20" s="1" customFormat="1" ht="17.100000000000001" customHeight="1">
      <c r="K604" s="131"/>
      <c r="L604" s="131"/>
      <c r="M604" s="154"/>
      <c r="O604" s="120"/>
      <c r="Q604" s="144"/>
      <c r="S604" s="144"/>
      <c r="T604" s="144"/>
    </row>
    <row r="605" spans="11:20" s="1" customFormat="1" ht="17.100000000000001" customHeight="1">
      <c r="K605" s="131"/>
      <c r="L605" s="131"/>
      <c r="M605" s="154"/>
      <c r="O605" s="120"/>
      <c r="Q605" s="144"/>
      <c r="S605" s="144"/>
      <c r="T605" s="144"/>
    </row>
    <row r="606" spans="11:20" s="1" customFormat="1" ht="17.100000000000001" customHeight="1">
      <c r="K606" s="131"/>
      <c r="L606" s="131"/>
      <c r="M606" s="154"/>
      <c r="O606" s="120"/>
      <c r="Q606" s="144"/>
      <c r="S606" s="144"/>
      <c r="T606" s="144"/>
    </row>
    <row r="607" spans="11:20" s="1" customFormat="1" ht="17.100000000000001" customHeight="1">
      <c r="K607" s="131"/>
      <c r="L607" s="131"/>
      <c r="M607" s="154"/>
      <c r="O607" s="120"/>
      <c r="Q607" s="144"/>
      <c r="S607" s="144"/>
      <c r="T607" s="144"/>
    </row>
    <row r="608" spans="11:20" s="1" customFormat="1" ht="17.100000000000001" customHeight="1">
      <c r="K608" s="131"/>
      <c r="L608" s="131"/>
      <c r="M608" s="154"/>
      <c r="O608" s="120"/>
      <c r="Q608" s="144"/>
      <c r="S608" s="144"/>
      <c r="T608" s="144"/>
    </row>
    <row r="609" spans="11:20" s="1" customFormat="1" ht="17.100000000000001" customHeight="1">
      <c r="K609" s="131"/>
      <c r="L609" s="131"/>
      <c r="M609" s="154"/>
      <c r="O609" s="120"/>
      <c r="Q609" s="144"/>
      <c r="S609" s="144"/>
      <c r="T609" s="144"/>
    </row>
    <row r="610" spans="11:20" s="1" customFormat="1" ht="17.100000000000001" customHeight="1">
      <c r="K610" s="131"/>
      <c r="L610" s="131"/>
      <c r="M610" s="154"/>
      <c r="O610" s="120"/>
      <c r="Q610" s="144"/>
      <c r="S610" s="144"/>
      <c r="T610" s="144"/>
    </row>
    <row r="611" spans="11:20" s="1" customFormat="1" ht="17.100000000000001" customHeight="1">
      <c r="K611" s="131"/>
      <c r="L611" s="131"/>
      <c r="M611" s="154"/>
      <c r="O611" s="120"/>
      <c r="Q611" s="144"/>
      <c r="S611" s="144"/>
      <c r="T611" s="144"/>
    </row>
    <row r="612" spans="11:20" s="1" customFormat="1" ht="17.100000000000001" customHeight="1">
      <c r="K612" s="131"/>
      <c r="L612" s="131"/>
      <c r="M612" s="154"/>
      <c r="O612" s="120"/>
      <c r="Q612" s="144"/>
      <c r="S612" s="144"/>
      <c r="T612" s="144"/>
    </row>
    <row r="613" spans="11:20" s="1" customFormat="1" ht="17.100000000000001" customHeight="1">
      <c r="K613" s="131"/>
      <c r="L613" s="131"/>
      <c r="M613" s="154"/>
      <c r="O613" s="120"/>
      <c r="Q613" s="144"/>
      <c r="S613" s="144"/>
      <c r="T613" s="144"/>
    </row>
    <row r="614" spans="11:20" s="1" customFormat="1" ht="17.100000000000001" customHeight="1">
      <c r="K614" s="131"/>
      <c r="L614" s="131"/>
      <c r="M614" s="154"/>
      <c r="O614" s="120"/>
      <c r="Q614" s="144"/>
      <c r="S614" s="144"/>
      <c r="T614" s="144"/>
    </row>
    <row r="615" spans="11:20" s="1" customFormat="1" ht="17.100000000000001" customHeight="1">
      <c r="K615" s="131"/>
      <c r="L615" s="131"/>
      <c r="M615" s="154"/>
      <c r="O615" s="120"/>
      <c r="Q615" s="144"/>
      <c r="S615" s="144"/>
      <c r="T615" s="144"/>
    </row>
    <row r="616" spans="11:20" s="1" customFormat="1" ht="17.100000000000001" customHeight="1">
      <c r="K616" s="131"/>
      <c r="L616" s="131"/>
      <c r="M616" s="154"/>
      <c r="O616" s="120"/>
      <c r="Q616" s="144"/>
      <c r="S616" s="144"/>
      <c r="T616" s="144"/>
    </row>
    <row r="617" spans="11:20" s="1" customFormat="1" ht="17.100000000000001" customHeight="1">
      <c r="K617" s="131"/>
      <c r="L617" s="131"/>
      <c r="M617" s="154"/>
      <c r="O617" s="120"/>
      <c r="Q617" s="144"/>
      <c r="S617" s="144"/>
      <c r="T617" s="144"/>
    </row>
    <row r="618" spans="11:20" s="1" customFormat="1" ht="17.100000000000001" customHeight="1">
      <c r="K618" s="131"/>
      <c r="L618" s="131"/>
      <c r="M618" s="154"/>
      <c r="O618" s="120"/>
      <c r="Q618" s="144"/>
      <c r="S618" s="144"/>
      <c r="T618" s="144"/>
    </row>
    <row r="619" spans="11:20" s="1" customFormat="1" ht="17.100000000000001" customHeight="1">
      <c r="K619" s="131"/>
      <c r="L619" s="131"/>
      <c r="M619" s="154"/>
      <c r="O619" s="120"/>
      <c r="Q619" s="144"/>
      <c r="S619" s="144"/>
      <c r="T619" s="144"/>
    </row>
    <row r="620" spans="11:20" s="1" customFormat="1" ht="17.100000000000001" customHeight="1">
      <c r="K620" s="131"/>
      <c r="L620" s="131"/>
      <c r="M620" s="154"/>
      <c r="O620" s="120"/>
      <c r="Q620" s="144"/>
      <c r="S620" s="144"/>
      <c r="T620" s="144"/>
    </row>
    <row r="621" spans="11:20" s="1" customFormat="1" ht="17.100000000000001" customHeight="1">
      <c r="K621" s="131"/>
      <c r="L621" s="131"/>
      <c r="M621" s="154"/>
      <c r="O621" s="120"/>
      <c r="Q621" s="144"/>
      <c r="S621" s="144"/>
      <c r="T621" s="144"/>
    </row>
    <row r="622" spans="11:20" s="1" customFormat="1" ht="17.100000000000001" customHeight="1">
      <c r="K622" s="131"/>
      <c r="L622" s="131"/>
      <c r="M622" s="154"/>
      <c r="O622" s="120"/>
      <c r="Q622" s="144"/>
      <c r="S622" s="144"/>
      <c r="T622" s="144"/>
    </row>
    <row r="623" spans="11:20" s="1" customFormat="1" ht="17.100000000000001" customHeight="1">
      <c r="K623" s="131"/>
      <c r="L623" s="131"/>
      <c r="M623" s="154"/>
      <c r="O623" s="120"/>
      <c r="Q623" s="144"/>
      <c r="S623" s="144"/>
      <c r="T623" s="144"/>
    </row>
    <row r="624" spans="11:20" s="1" customFormat="1" ht="17.100000000000001" customHeight="1">
      <c r="K624" s="131"/>
      <c r="L624" s="131"/>
      <c r="M624" s="154"/>
      <c r="O624" s="120"/>
      <c r="Q624" s="144"/>
      <c r="S624" s="144"/>
      <c r="T624" s="144"/>
    </row>
    <row r="625" spans="11:20" s="1" customFormat="1" ht="17.100000000000001" customHeight="1">
      <c r="K625" s="131"/>
      <c r="L625" s="131"/>
      <c r="M625" s="154"/>
      <c r="O625" s="120"/>
      <c r="Q625" s="144"/>
      <c r="S625" s="144"/>
      <c r="T625" s="144"/>
    </row>
    <row r="626" spans="11:20" s="1" customFormat="1" ht="17.100000000000001" customHeight="1">
      <c r="K626" s="131"/>
      <c r="L626" s="131"/>
      <c r="M626" s="154"/>
      <c r="O626" s="120"/>
      <c r="Q626" s="144"/>
      <c r="S626" s="144"/>
      <c r="T626" s="144"/>
    </row>
    <row r="627" spans="11:20" s="1" customFormat="1" ht="17.100000000000001" customHeight="1">
      <c r="K627" s="131"/>
      <c r="L627" s="131"/>
      <c r="M627" s="154"/>
      <c r="O627" s="120"/>
      <c r="Q627" s="144"/>
      <c r="S627" s="144"/>
      <c r="T627" s="144"/>
    </row>
    <row r="628" spans="11:20" s="1" customFormat="1" ht="17.100000000000001" customHeight="1">
      <c r="K628" s="131"/>
      <c r="L628" s="131"/>
      <c r="M628" s="154"/>
      <c r="O628" s="120"/>
      <c r="Q628" s="144"/>
      <c r="S628" s="144"/>
      <c r="T628" s="144"/>
    </row>
    <row r="629" spans="11:20" s="1" customFormat="1" ht="17.100000000000001" customHeight="1">
      <c r="K629" s="131"/>
      <c r="L629" s="131"/>
      <c r="M629" s="154"/>
      <c r="O629" s="120"/>
      <c r="Q629" s="144"/>
      <c r="S629" s="144"/>
      <c r="T629" s="144"/>
    </row>
    <row r="630" spans="11:20" s="1" customFormat="1" ht="17.100000000000001" customHeight="1">
      <c r="K630" s="131"/>
      <c r="L630" s="131"/>
      <c r="M630" s="154"/>
      <c r="O630" s="120"/>
      <c r="Q630" s="144"/>
      <c r="S630" s="144"/>
      <c r="T630" s="144"/>
    </row>
    <row r="631" spans="11:20" s="1" customFormat="1" ht="17.100000000000001" customHeight="1">
      <c r="K631" s="131"/>
      <c r="L631" s="131"/>
      <c r="M631" s="154"/>
      <c r="O631" s="120"/>
      <c r="Q631" s="144"/>
      <c r="S631" s="144"/>
      <c r="T631" s="144"/>
    </row>
    <row r="632" spans="11:20" s="1" customFormat="1" ht="17.100000000000001" customHeight="1">
      <c r="K632" s="131"/>
      <c r="L632" s="131"/>
      <c r="M632" s="154"/>
      <c r="O632" s="120"/>
      <c r="Q632" s="144"/>
      <c r="S632" s="144"/>
      <c r="T632" s="144"/>
    </row>
    <row r="633" spans="11:20" s="1" customFormat="1" ht="17.100000000000001" customHeight="1">
      <c r="K633" s="131"/>
      <c r="L633" s="131"/>
      <c r="M633" s="154"/>
      <c r="O633" s="120"/>
      <c r="Q633" s="144"/>
      <c r="S633" s="144"/>
      <c r="T633" s="144"/>
    </row>
    <row r="634" spans="11:20" s="1" customFormat="1" ht="17.100000000000001" customHeight="1">
      <c r="K634" s="131"/>
      <c r="L634" s="131"/>
      <c r="M634" s="154"/>
      <c r="O634" s="120"/>
      <c r="Q634" s="144"/>
      <c r="S634" s="144"/>
      <c r="T634" s="144"/>
    </row>
    <row r="635" spans="11:20" s="1" customFormat="1" ht="17.100000000000001" customHeight="1">
      <c r="K635" s="131"/>
      <c r="L635" s="131"/>
      <c r="M635" s="154"/>
      <c r="O635" s="120"/>
      <c r="Q635" s="144"/>
      <c r="S635" s="144"/>
      <c r="T635" s="144"/>
    </row>
    <row r="636" spans="11:20" s="1" customFormat="1" ht="17.100000000000001" customHeight="1">
      <c r="K636" s="131"/>
      <c r="L636" s="131"/>
      <c r="M636" s="154"/>
      <c r="O636" s="120"/>
      <c r="Q636" s="144"/>
      <c r="S636" s="144"/>
      <c r="T636" s="144"/>
    </row>
    <row r="637" spans="11:20" s="1" customFormat="1" ht="17.100000000000001" customHeight="1">
      <c r="K637" s="131"/>
      <c r="L637" s="131"/>
      <c r="M637" s="154"/>
      <c r="O637" s="120"/>
      <c r="Q637" s="144"/>
      <c r="S637" s="144"/>
      <c r="T637" s="144"/>
    </row>
    <row r="638" spans="11:20" s="1" customFormat="1" ht="17.100000000000001" customHeight="1">
      <c r="K638" s="131"/>
      <c r="L638" s="131"/>
      <c r="M638" s="154"/>
      <c r="O638" s="120"/>
      <c r="Q638" s="144"/>
      <c r="S638" s="144"/>
      <c r="T638" s="144"/>
    </row>
    <row r="639" spans="11:20" s="1" customFormat="1" ht="17.100000000000001" customHeight="1">
      <c r="K639" s="131"/>
      <c r="L639" s="131"/>
      <c r="M639" s="154"/>
      <c r="O639" s="120"/>
      <c r="Q639" s="144"/>
      <c r="S639" s="144"/>
      <c r="T639" s="144"/>
    </row>
    <row r="640" spans="11:20" s="1" customFormat="1" ht="17.100000000000001" customHeight="1">
      <c r="K640" s="131"/>
      <c r="L640" s="131"/>
      <c r="M640" s="154"/>
      <c r="O640" s="120"/>
      <c r="Q640" s="144"/>
      <c r="S640" s="144"/>
      <c r="T640" s="144"/>
    </row>
    <row r="641" spans="11:20" s="1" customFormat="1" ht="17.100000000000001" customHeight="1">
      <c r="K641" s="131"/>
      <c r="L641" s="131"/>
      <c r="M641" s="154"/>
      <c r="O641" s="120"/>
      <c r="Q641" s="144"/>
      <c r="S641" s="144"/>
      <c r="T641" s="144"/>
    </row>
    <row r="642" spans="11:20" s="1" customFormat="1" ht="17.100000000000001" customHeight="1">
      <c r="K642" s="131"/>
      <c r="L642" s="131"/>
      <c r="M642" s="154"/>
      <c r="O642" s="120"/>
      <c r="Q642" s="144"/>
      <c r="S642" s="144"/>
      <c r="T642" s="144"/>
    </row>
    <row r="643" spans="11:20" s="1" customFormat="1" ht="17.100000000000001" customHeight="1">
      <c r="K643" s="131"/>
      <c r="L643" s="131"/>
      <c r="M643" s="154"/>
      <c r="O643" s="120"/>
      <c r="Q643" s="144"/>
      <c r="S643" s="144"/>
      <c r="T643" s="144"/>
    </row>
    <row r="644" spans="11:20" s="1" customFormat="1" ht="17.100000000000001" customHeight="1">
      <c r="K644" s="131"/>
      <c r="L644" s="131"/>
      <c r="M644" s="154"/>
      <c r="O644" s="120"/>
      <c r="Q644" s="144"/>
      <c r="S644" s="144"/>
      <c r="T644" s="144"/>
    </row>
    <row r="645" spans="11:20" s="1" customFormat="1" ht="17.100000000000001" customHeight="1">
      <c r="K645" s="131"/>
      <c r="L645" s="131"/>
      <c r="M645" s="154"/>
      <c r="O645" s="120"/>
      <c r="Q645" s="144"/>
      <c r="S645" s="144"/>
      <c r="T645" s="144"/>
    </row>
    <row r="646" spans="11:20" s="1" customFormat="1" ht="17.100000000000001" customHeight="1">
      <c r="K646" s="131"/>
      <c r="L646" s="131"/>
      <c r="M646" s="154"/>
      <c r="O646" s="120"/>
      <c r="Q646" s="144"/>
      <c r="S646" s="144"/>
      <c r="T646" s="144"/>
    </row>
    <row r="647" spans="11:20" s="1" customFormat="1" ht="17.100000000000001" customHeight="1">
      <c r="K647" s="131"/>
      <c r="L647" s="131"/>
      <c r="M647" s="154"/>
      <c r="O647" s="120"/>
      <c r="Q647" s="144"/>
      <c r="S647" s="144"/>
      <c r="T647" s="144"/>
    </row>
    <row r="648" spans="11:20" s="1" customFormat="1" ht="17.100000000000001" customHeight="1">
      <c r="K648" s="131"/>
      <c r="L648" s="131"/>
      <c r="M648" s="154"/>
      <c r="O648" s="120"/>
      <c r="Q648" s="144"/>
      <c r="S648" s="144"/>
      <c r="T648" s="144"/>
    </row>
    <row r="649" spans="11:20" s="1" customFormat="1" ht="17.100000000000001" customHeight="1">
      <c r="K649" s="131"/>
      <c r="L649" s="131"/>
      <c r="M649" s="154"/>
      <c r="O649" s="120"/>
      <c r="Q649" s="144"/>
      <c r="S649" s="144"/>
      <c r="T649" s="144"/>
    </row>
    <row r="650" spans="11:20" s="1" customFormat="1" ht="17.100000000000001" customHeight="1">
      <c r="K650" s="131"/>
      <c r="L650" s="131"/>
      <c r="M650" s="154"/>
      <c r="O650" s="120"/>
      <c r="Q650" s="144"/>
      <c r="S650" s="144"/>
      <c r="T650" s="144"/>
    </row>
    <row r="651" spans="11:20" s="1" customFormat="1" ht="17.100000000000001" customHeight="1">
      <c r="K651" s="131"/>
      <c r="L651" s="131"/>
      <c r="M651" s="154"/>
      <c r="O651" s="120"/>
      <c r="Q651" s="144"/>
      <c r="S651" s="144"/>
      <c r="T651" s="144"/>
    </row>
    <row r="652" spans="11:20" s="1" customFormat="1" ht="17.100000000000001" customHeight="1">
      <c r="K652" s="131"/>
      <c r="L652" s="131"/>
      <c r="M652" s="154"/>
      <c r="O652" s="120"/>
      <c r="Q652" s="144"/>
      <c r="S652" s="144"/>
      <c r="T652" s="144"/>
    </row>
    <row r="653" spans="11:20" s="1" customFormat="1" ht="17.100000000000001" customHeight="1">
      <c r="K653" s="131"/>
      <c r="L653" s="131"/>
      <c r="M653" s="154"/>
      <c r="O653" s="120"/>
      <c r="Q653" s="144"/>
      <c r="S653" s="144"/>
      <c r="T653" s="144"/>
    </row>
    <row r="654" spans="11:20" s="1" customFormat="1" ht="17.100000000000001" customHeight="1">
      <c r="K654" s="131"/>
      <c r="L654" s="131"/>
      <c r="M654" s="154"/>
      <c r="O654" s="120"/>
      <c r="Q654" s="144"/>
      <c r="S654" s="144"/>
      <c r="T654" s="144"/>
    </row>
    <row r="655" spans="11:20" s="1" customFormat="1" ht="17.100000000000001" customHeight="1">
      <c r="K655" s="131"/>
      <c r="L655" s="131"/>
      <c r="M655" s="154"/>
      <c r="O655" s="120"/>
      <c r="Q655" s="144"/>
      <c r="S655" s="144"/>
      <c r="T655" s="144"/>
    </row>
    <row r="656" spans="11:20" s="1" customFormat="1" ht="17.100000000000001" customHeight="1">
      <c r="K656" s="131"/>
      <c r="L656" s="131"/>
      <c r="M656" s="154"/>
      <c r="O656" s="120"/>
      <c r="Q656" s="144"/>
      <c r="S656" s="144"/>
      <c r="T656" s="144"/>
    </row>
    <row r="657" spans="11:20" s="1" customFormat="1" ht="17.100000000000001" customHeight="1">
      <c r="K657" s="131"/>
      <c r="L657" s="131"/>
      <c r="M657" s="154"/>
      <c r="O657" s="120"/>
      <c r="Q657" s="144"/>
      <c r="S657" s="144"/>
      <c r="T657" s="144"/>
    </row>
    <row r="658" spans="11:20" s="1" customFormat="1" ht="17.100000000000001" customHeight="1">
      <c r="K658" s="131"/>
      <c r="L658" s="131"/>
      <c r="M658" s="154"/>
      <c r="O658" s="120"/>
      <c r="Q658" s="144"/>
      <c r="S658" s="144"/>
      <c r="T658" s="144"/>
    </row>
    <row r="659" spans="11:20" s="1" customFormat="1" ht="17.100000000000001" customHeight="1">
      <c r="K659" s="131"/>
      <c r="L659" s="131"/>
      <c r="M659" s="154"/>
      <c r="O659" s="120"/>
      <c r="Q659" s="144"/>
      <c r="S659" s="144"/>
      <c r="T659" s="144"/>
    </row>
    <row r="660" spans="11:20" s="1" customFormat="1" ht="17.100000000000001" customHeight="1">
      <c r="K660" s="131"/>
      <c r="L660" s="131"/>
      <c r="M660" s="154"/>
      <c r="O660" s="120"/>
      <c r="Q660" s="144"/>
      <c r="S660" s="144"/>
      <c r="T660" s="144"/>
    </row>
    <row r="661" spans="11:20" s="1" customFormat="1" ht="17.100000000000001" customHeight="1">
      <c r="K661" s="131"/>
      <c r="L661" s="131"/>
      <c r="M661" s="154"/>
      <c r="O661" s="120"/>
      <c r="Q661" s="144"/>
      <c r="S661" s="144"/>
      <c r="T661" s="144"/>
    </row>
    <row r="662" spans="11:20" s="1" customFormat="1" ht="17.100000000000001" customHeight="1">
      <c r="K662" s="131"/>
      <c r="L662" s="131"/>
      <c r="M662" s="154"/>
      <c r="O662" s="120"/>
      <c r="Q662" s="144"/>
      <c r="S662" s="144"/>
      <c r="T662" s="144"/>
    </row>
    <row r="663" spans="11:20" s="1" customFormat="1" ht="17.100000000000001" customHeight="1">
      <c r="K663" s="131"/>
      <c r="L663" s="131"/>
      <c r="M663" s="154"/>
      <c r="O663" s="120"/>
      <c r="Q663" s="144"/>
      <c r="S663" s="144"/>
      <c r="T663" s="144"/>
    </row>
    <row r="664" spans="11:20" s="1" customFormat="1" ht="17.100000000000001" customHeight="1">
      <c r="K664" s="131"/>
      <c r="L664" s="131"/>
      <c r="M664" s="154"/>
      <c r="O664" s="120"/>
      <c r="Q664" s="144"/>
      <c r="S664" s="144"/>
      <c r="T664" s="144"/>
    </row>
    <row r="665" spans="11:20" s="1" customFormat="1" ht="17.100000000000001" customHeight="1">
      <c r="K665" s="131"/>
      <c r="L665" s="131"/>
      <c r="M665" s="154"/>
      <c r="O665" s="120"/>
      <c r="Q665" s="144"/>
      <c r="S665" s="144"/>
      <c r="T665" s="144"/>
    </row>
    <row r="666" spans="11:20" s="1" customFormat="1" ht="17.100000000000001" customHeight="1">
      <c r="K666" s="131"/>
      <c r="L666" s="131"/>
      <c r="M666" s="154"/>
      <c r="O666" s="120"/>
      <c r="Q666" s="144"/>
      <c r="S666" s="144"/>
      <c r="T666" s="144"/>
    </row>
    <row r="667" spans="11:20" s="1" customFormat="1" ht="17.100000000000001" customHeight="1">
      <c r="K667" s="131"/>
      <c r="L667" s="131"/>
      <c r="M667" s="154"/>
      <c r="O667" s="120"/>
      <c r="Q667" s="144"/>
      <c r="S667" s="144"/>
      <c r="T667" s="144"/>
    </row>
    <row r="668" spans="11:20" s="1" customFormat="1" ht="17.100000000000001" customHeight="1">
      <c r="K668" s="131"/>
      <c r="L668" s="131"/>
      <c r="M668" s="154"/>
      <c r="O668" s="120"/>
      <c r="Q668" s="144"/>
      <c r="S668" s="144"/>
      <c r="T668" s="144"/>
    </row>
    <row r="669" spans="11:20" s="1" customFormat="1" ht="17.100000000000001" customHeight="1">
      <c r="K669" s="131"/>
      <c r="L669" s="131"/>
      <c r="M669" s="154"/>
      <c r="O669" s="120"/>
      <c r="Q669" s="144"/>
      <c r="S669" s="144"/>
      <c r="T669" s="144"/>
    </row>
    <row r="670" spans="11:20" s="1" customFormat="1" ht="17.100000000000001" customHeight="1">
      <c r="K670" s="131"/>
      <c r="L670" s="131"/>
      <c r="M670" s="154"/>
      <c r="O670" s="120"/>
      <c r="Q670" s="144"/>
      <c r="S670" s="144"/>
      <c r="T670" s="144"/>
    </row>
    <row r="671" spans="11:20" s="1" customFormat="1" ht="17.100000000000001" customHeight="1">
      <c r="K671" s="131"/>
      <c r="L671" s="131"/>
      <c r="M671" s="154"/>
      <c r="O671" s="120"/>
      <c r="Q671" s="144"/>
      <c r="S671" s="144"/>
      <c r="T671" s="144"/>
    </row>
    <row r="672" spans="11:20" s="1" customFormat="1" ht="17.100000000000001" customHeight="1">
      <c r="K672" s="131"/>
      <c r="L672" s="131"/>
      <c r="M672" s="154"/>
      <c r="O672" s="120"/>
      <c r="Q672" s="144"/>
      <c r="S672" s="144"/>
      <c r="T672" s="144"/>
    </row>
    <row r="673" spans="11:20" s="1" customFormat="1" ht="17.100000000000001" customHeight="1">
      <c r="K673" s="131"/>
      <c r="L673" s="131"/>
      <c r="M673" s="154"/>
      <c r="O673" s="120"/>
      <c r="Q673" s="144"/>
      <c r="S673" s="144"/>
      <c r="T673" s="144"/>
    </row>
    <row r="674" spans="11:20" s="1" customFormat="1" ht="17.100000000000001" customHeight="1">
      <c r="K674" s="131"/>
      <c r="L674" s="131"/>
      <c r="M674" s="154"/>
      <c r="O674" s="120"/>
      <c r="Q674" s="144"/>
      <c r="S674" s="144"/>
      <c r="T674" s="144"/>
    </row>
    <row r="675" spans="11:20" s="1" customFormat="1" ht="17.100000000000001" customHeight="1">
      <c r="K675" s="131"/>
      <c r="L675" s="131"/>
      <c r="M675" s="154"/>
      <c r="O675" s="120"/>
      <c r="Q675" s="144"/>
      <c r="S675" s="144"/>
      <c r="T675" s="144"/>
    </row>
    <row r="676" spans="11:20" s="1" customFormat="1" ht="17.100000000000001" customHeight="1">
      <c r="K676" s="131"/>
      <c r="L676" s="131"/>
      <c r="M676" s="154"/>
      <c r="O676" s="120"/>
      <c r="Q676" s="144"/>
      <c r="S676" s="144"/>
      <c r="T676" s="144"/>
    </row>
    <row r="677" spans="11:20" s="1" customFormat="1" ht="17.100000000000001" customHeight="1">
      <c r="K677" s="131"/>
      <c r="L677" s="131"/>
      <c r="M677" s="154"/>
      <c r="O677" s="120"/>
      <c r="Q677" s="144"/>
      <c r="S677" s="144"/>
      <c r="T677" s="144"/>
    </row>
    <row r="678" spans="11:20" s="1" customFormat="1" ht="17.100000000000001" customHeight="1">
      <c r="K678" s="131"/>
      <c r="L678" s="131"/>
      <c r="M678" s="154"/>
      <c r="O678" s="120"/>
      <c r="Q678" s="144"/>
      <c r="S678" s="144"/>
      <c r="T678" s="144"/>
    </row>
    <row r="679" spans="11:20" s="1" customFormat="1" ht="17.100000000000001" customHeight="1">
      <c r="K679" s="131"/>
      <c r="L679" s="131"/>
      <c r="M679" s="154"/>
      <c r="O679" s="120"/>
      <c r="Q679" s="144"/>
      <c r="S679" s="144"/>
      <c r="T679" s="144"/>
    </row>
    <row r="680" spans="11:20" s="1" customFormat="1" ht="17.100000000000001" customHeight="1">
      <c r="K680" s="131"/>
      <c r="L680" s="131"/>
      <c r="M680" s="154"/>
      <c r="O680" s="120"/>
      <c r="Q680" s="144"/>
      <c r="S680" s="144"/>
      <c r="T680" s="144"/>
    </row>
    <row r="681" spans="11:20" s="1" customFormat="1" ht="17.100000000000001" customHeight="1">
      <c r="K681" s="131"/>
      <c r="L681" s="131"/>
      <c r="M681" s="154"/>
      <c r="O681" s="120"/>
      <c r="Q681" s="144"/>
      <c r="S681" s="144"/>
      <c r="T681" s="144"/>
    </row>
    <row r="682" spans="11:20" s="1" customFormat="1" ht="17.100000000000001" customHeight="1">
      <c r="K682" s="131"/>
      <c r="L682" s="131"/>
      <c r="M682" s="154"/>
      <c r="O682" s="120"/>
      <c r="Q682" s="144"/>
      <c r="S682" s="144"/>
      <c r="T682" s="144"/>
    </row>
    <row r="683" spans="11:20" s="1" customFormat="1" ht="17.100000000000001" customHeight="1">
      <c r="K683" s="131"/>
      <c r="L683" s="131"/>
      <c r="M683" s="154"/>
      <c r="O683" s="120"/>
      <c r="Q683" s="144"/>
      <c r="S683" s="144"/>
      <c r="T683" s="144"/>
    </row>
    <row r="684" spans="11:20" s="1" customFormat="1" ht="17.100000000000001" customHeight="1">
      <c r="K684" s="131"/>
      <c r="L684" s="131"/>
      <c r="M684" s="154"/>
      <c r="O684" s="120"/>
      <c r="Q684" s="144"/>
      <c r="S684" s="144"/>
      <c r="T684" s="144"/>
    </row>
    <row r="685" spans="11:20" s="1" customFormat="1" ht="17.100000000000001" customHeight="1">
      <c r="K685" s="131"/>
      <c r="L685" s="131"/>
      <c r="M685" s="154"/>
      <c r="O685" s="120"/>
      <c r="Q685" s="144"/>
      <c r="S685" s="144"/>
      <c r="T685" s="144"/>
    </row>
    <row r="686" spans="11:20" s="1" customFormat="1" ht="17.100000000000001" customHeight="1">
      <c r="K686" s="131"/>
      <c r="L686" s="131"/>
      <c r="M686" s="154"/>
      <c r="O686" s="120"/>
      <c r="Q686" s="144"/>
      <c r="S686" s="144"/>
      <c r="T686" s="144"/>
    </row>
    <row r="687" spans="11:20" s="1" customFormat="1" ht="17.100000000000001" customHeight="1">
      <c r="K687" s="131"/>
      <c r="L687" s="131"/>
      <c r="M687" s="154"/>
      <c r="O687" s="120"/>
      <c r="Q687" s="144"/>
      <c r="S687" s="144"/>
      <c r="T687" s="144"/>
    </row>
    <row r="688" spans="11:20" s="1" customFormat="1" ht="17.100000000000001" customHeight="1">
      <c r="K688" s="131"/>
      <c r="L688" s="131"/>
      <c r="M688" s="154"/>
      <c r="O688" s="120"/>
      <c r="Q688" s="144"/>
      <c r="S688" s="144"/>
      <c r="T688" s="144"/>
    </row>
    <row r="689" spans="11:20" s="1" customFormat="1" ht="17.100000000000001" customHeight="1">
      <c r="K689" s="131"/>
      <c r="L689" s="131"/>
      <c r="M689" s="154"/>
      <c r="O689" s="120"/>
      <c r="Q689" s="144"/>
      <c r="S689" s="144"/>
      <c r="T689" s="144"/>
    </row>
    <row r="690" spans="11:20" s="1" customFormat="1" ht="17.100000000000001" customHeight="1">
      <c r="K690" s="131"/>
      <c r="L690" s="131"/>
      <c r="M690" s="154"/>
      <c r="O690" s="120"/>
      <c r="Q690" s="144"/>
      <c r="S690" s="144"/>
      <c r="T690" s="144"/>
    </row>
    <row r="691" spans="11:20" s="1" customFormat="1" ht="17.100000000000001" customHeight="1">
      <c r="K691" s="131"/>
      <c r="L691" s="131"/>
      <c r="M691" s="154"/>
      <c r="O691" s="120"/>
      <c r="Q691" s="144"/>
      <c r="S691" s="144"/>
      <c r="T691" s="144"/>
    </row>
    <row r="692" spans="11:20" s="1" customFormat="1" ht="17.100000000000001" customHeight="1">
      <c r="K692" s="131"/>
      <c r="L692" s="131"/>
      <c r="M692" s="154"/>
      <c r="O692" s="120"/>
      <c r="Q692" s="144"/>
      <c r="S692" s="144"/>
      <c r="T692" s="144"/>
    </row>
    <row r="693" spans="11:20" s="1" customFormat="1" ht="17.100000000000001" customHeight="1">
      <c r="K693" s="131"/>
      <c r="L693" s="131"/>
      <c r="M693" s="154"/>
      <c r="O693" s="120"/>
      <c r="Q693" s="144"/>
      <c r="S693" s="144"/>
      <c r="T693" s="144"/>
    </row>
    <row r="694" spans="11:20" s="1" customFormat="1" ht="17.100000000000001" customHeight="1">
      <c r="K694" s="131"/>
      <c r="L694" s="131"/>
      <c r="M694" s="154"/>
      <c r="O694" s="120"/>
      <c r="Q694" s="144"/>
      <c r="S694" s="144"/>
      <c r="T694" s="144"/>
    </row>
    <row r="695" spans="11:20" s="1" customFormat="1" ht="17.100000000000001" customHeight="1">
      <c r="K695" s="131"/>
      <c r="L695" s="131"/>
      <c r="M695" s="154"/>
      <c r="O695" s="120"/>
      <c r="Q695" s="144"/>
      <c r="S695" s="144"/>
      <c r="T695" s="144"/>
    </row>
    <row r="696" spans="11:20" s="1" customFormat="1" ht="17.100000000000001" customHeight="1">
      <c r="K696" s="131"/>
      <c r="L696" s="131"/>
      <c r="M696" s="154"/>
      <c r="O696" s="120"/>
      <c r="Q696" s="144"/>
      <c r="S696" s="144"/>
      <c r="T696" s="144"/>
    </row>
    <row r="697" spans="11:20" s="1" customFormat="1" ht="17.100000000000001" customHeight="1">
      <c r="K697" s="131"/>
      <c r="L697" s="131"/>
      <c r="M697" s="154"/>
      <c r="O697" s="120"/>
      <c r="Q697" s="144"/>
      <c r="S697" s="144"/>
      <c r="T697" s="144"/>
    </row>
    <row r="698" spans="11:20" s="1" customFormat="1" ht="17.100000000000001" customHeight="1">
      <c r="K698" s="131"/>
      <c r="L698" s="131"/>
      <c r="M698" s="154"/>
      <c r="O698" s="120"/>
      <c r="Q698" s="144"/>
      <c r="S698" s="144"/>
      <c r="T698" s="144"/>
    </row>
    <row r="699" spans="11:20" s="1" customFormat="1" ht="17.100000000000001" customHeight="1">
      <c r="K699" s="131"/>
      <c r="L699" s="131"/>
      <c r="M699" s="154"/>
      <c r="O699" s="120"/>
      <c r="Q699" s="144"/>
      <c r="S699" s="144"/>
      <c r="T699" s="144"/>
    </row>
    <row r="700" spans="11:20" s="1" customFormat="1" ht="17.100000000000001" customHeight="1">
      <c r="K700" s="131"/>
      <c r="L700" s="131"/>
      <c r="M700" s="154"/>
      <c r="O700" s="120"/>
      <c r="Q700" s="144"/>
      <c r="S700" s="144"/>
      <c r="T700" s="144"/>
    </row>
    <row r="701" spans="11:20" s="1" customFormat="1" ht="17.100000000000001" customHeight="1">
      <c r="K701" s="131"/>
      <c r="L701" s="131"/>
      <c r="M701" s="154"/>
      <c r="O701" s="120"/>
      <c r="Q701" s="144"/>
      <c r="S701" s="144"/>
      <c r="T701" s="144"/>
    </row>
    <row r="702" spans="11:20" s="1" customFormat="1" ht="17.100000000000001" customHeight="1">
      <c r="K702" s="131"/>
      <c r="L702" s="131"/>
      <c r="M702" s="154"/>
      <c r="O702" s="120"/>
      <c r="Q702" s="144"/>
      <c r="S702" s="144"/>
      <c r="T702" s="144"/>
    </row>
    <row r="703" spans="11:20" s="1" customFormat="1" ht="17.100000000000001" customHeight="1">
      <c r="K703" s="131"/>
      <c r="L703" s="131"/>
      <c r="M703" s="154"/>
      <c r="O703" s="120"/>
      <c r="Q703" s="144"/>
      <c r="S703" s="144"/>
      <c r="T703" s="144"/>
    </row>
    <row r="704" spans="11:20" s="1" customFormat="1" ht="17.100000000000001" customHeight="1">
      <c r="K704" s="131"/>
      <c r="L704" s="131"/>
      <c r="M704" s="154"/>
      <c r="O704" s="120"/>
      <c r="Q704" s="144"/>
      <c r="S704" s="144"/>
      <c r="T704" s="144"/>
    </row>
    <row r="705" spans="11:20" s="1" customFormat="1" ht="17.100000000000001" customHeight="1">
      <c r="K705" s="131"/>
      <c r="L705" s="131"/>
      <c r="M705" s="154"/>
      <c r="O705" s="120"/>
      <c r="Q705" s="144"/>
      <c r="S705" s="144"/>
      <c r="T705" s="144"/>
    </row>
    <row r="706" spans="11:20" s="1" customFormat="1" ht="17.100000000000001" customHeight="1">
      <c r="K706" s="131"/>
      <c r="L706" s="131"/>
      <c r="M706" s="154"/>
      <c r="O706" s="120"/>
      <c r="Q706" s="144"/>
      <c r="S706" s="144"/>
      <c r="T706" s="144"/>
    </row>
    <row r="707" spans="11:20" s="1" customFormat="1" ht="17.100000000000001" customHeight="1">
      <c r="K707" s="131"/>
      <c r="L707" s="131"/>
      <c r="M707" s="154"/>
      <c r="O707" s="120"/>
      <c r="Q707" s="144"/>
      <c r="S707" s="144"/>
      <c r="T707" s="144"/>
    </row>
    <row r="708" spans="11:20" s="1" customFormat="1" ht="17.100000000000001" customHeight="1">
      <c r="K708" s="131"/>
      <c r="L708" s="131"/>
      <c r="M708" s="154"/>
      <c r="O708" s="120"/>
      <c r="Q708" s="144"/>
      <c r="S708" s="144"/>
      <c r="T708" s="144"/>
    </row>
    <row r="709" spans="11:20" s="1" customFormat="1" ht="17.100000000000001" customHeight="1">
      <c r="K709" s="131"/>
      <c r="L709" s="131"/>
      <c r="M709" s="154"/>
      <c r="O709" s="120"/>
      <c r="Q709" s="144"/>
      <c r="S709" s="144"/>
      <c r="T709" s="144"/>
    </row>
    <row r="710" spans="11:20" s="1" customFormat="1" ht="17.100000000000001" customHeight="1">
      <c r="K710" s="131"/>
      <c r="L710" s="131"/>
      <c r="M710" s="154"/>
      <c r="O710" s="120"/>
      <c r="Q710" s="144"/>
      <c r="S710" s="144"/>
      <c r="T710" s="144"/>
    </row>
    <row r="711" spans="11:20" s="1" customFormat="1" ht="17.100000000000001" customHeight="1">
      <c r="K711" s="131"/>
      <c r="L711" s="131"/>
      <c r="M711" s="154"/>
      <c r="O711" s="120"/>
      <c r="Q711" s="144"/>
      <c r="S711" s="144"/>
      <c r="T711" s="144"/>
    </row>
    <row r="712" spans="11:20" s="1" customFormat="1" ht="17.100000000000001" customHeight="1">
      <c r="K712" s="131"/>
      <c r="L712" s="131"/>
      <c r="M712" s="154"/>
      <c r="O712" s="120"/>
      <c r="Q712" s="144"/>
      <c r="S712" s="144"/>
      <c r="T712" s="144"/>
    </row>
    <row r="713" spans="11:20" s="1" customFormat="1" ht="17.100000000000001" customHeight="1">
      <c r="K713" s="131"/>
      <c r="L713" s="131"/>
      <c r="M713" s="154"/>
      <c r="O713" s="120"/>
      <c r="Q713" s="144"/>
      <c r="S713" s="144"/>
      <c r="T713" s="144"/>
    </row>
    <row r="714" spans="11:20" s="1" customFormat="1" ht="17.100000000000001" customHeight="1">
      <c r="K714" s="131"/>
      <c r="L714" s="131"/>
      <c r="M714" s="154"/>
      <c r="O714" s="120"/>
      <c r="Q714" s="144"/>
      <c r="S714" s="144"/>
      <c r="T714" s="144"/>
    </row>
    <row r="715" spans="11:20" s="1" customFormat="1" ht="17.100000000000001" customHeight="1">
      <c r="K715" s="131"/>
      <c r="L715" s="131"/>
      <c r="M715" s="154"/>
      <c r="O715" s="120"/>
      <c r="Q715" s="144"/>
      <c r="S715" s="144"/>
      <c r="T715" s="144"/>
    </row>
    <row r="716" spans="11:20" s="1" customFormat="1" ht="17.100000000000001" customHeight="1">
      <c r="K716" s="131"/>
      <c r="L716" s="131"/>
      <c r="M716" s="154"/>
      <c r="O716" s="120"/>
      <c r="Q716" s="144"/>
      <c r="S716" s="144"/>
      <c r="T716" s="144"/>
    </row>
    <row r="717" spans="11:20" s="1" customFormat="1" ht="17.100000000000001" customHeight="1">
      <c r="K717" s="131"/>
      <c r="L717" s="131"/>
      <c r="M717" s="154"/>
      <c r="O717" s="120"/>
      <c r="Q717" s="144"/>
      <c r="S717" s="144"/>
      <c r="T717" s="144"/>
    </row>
    <row r="718" spans="11:20" s="1" customFormat="1" ht="17.100000000000001" customHeight="1">
      <c r="K718" s="131"/>
      <c r="L718" s="131"/>
      <c r="M718" s="154"/>
      <c r="O718" s="120"/>
      <c r="Q718" s="144"/>
      <c r="S718" s="144"/>
      <c r="T718" s="144"/>
    </row>
    <row r="719" spans="11:20" s="1" customFormat="1" ht="17.100000000000001" customHeight="1">
      <c r="K719" s="131"/>
      <c r="L719" s="131"/>
      <c r="M719" s="154"/>
      <c r="O719" s="120"/>
      <c r="Q719" s="144"/>
      <c r="S719" s="144"/>
      <c r="T719" s="144"/>
    </row>
    <row r="720" spans="11:20" s="1" customFormat="1" ht="17.100000000000001" customHeight="1">
      <c r="K720" s="131"/>
      <c r="L720" s="131"/>
      <c r="M720" s="154"/>
      <c r="O720" s="120"/>
      <c r="Q720" s="144"/>
      <c r="S720" s="144"/>
      <c r="T720" s="144"/>
    </row>
    <row r="721" spans="11:20" s="1" customFormat="1" ht="17.100000000000001" customHeight="1">
      <c r="K721" s="131"/>
      <c r="L721" s="131"/>
      <c r="M721" s="154"/>
      <c r="O721" s="120"/>
      <c r="Q721" s="144"/>
      <c r="S721" s="144"/>
      <c r="T721" s="144"/>
    </row>
    <row r="722" spans="11:20" s="1" customFormat="1" ht="17.100000000000001" customHeight="1">
      <c r="K722" s="131"/>
      <c r="L722" s="131"/>
      <c r="M722" s="154"/>
      <c r="O722" s="120"/>
      <c r="Q722" s="144"/>
      <c r="S722" s="144"/>
      <c r="T722" s="144"/>
    </row>
    <row r="723" spans="11:20" s="1" customFormat="1" ht="17.100000000000001" customHeight="1">
      <c r="K723" s="131"/>
      <c r="L723" s="131"/>
      <c r="M723" s="154"/>
      <c r="O723" s="120"/>
      <c r="Q723" s="144"/>
      <c r="S723" s="144"/>
      <c r="T723" s="144"/>
    </row>
    <row r="724" spans="11:20" s="1" customFormat="1" ht="17.100000000000001" customHeight="1">
      <c r="K724" s="131"/>
      <c r="L724" s="131"/>
      <c r="M724" s="154"/>
      <c r="O724" s="120"/>
      <c r="Q724" s="144"/>
      <c r="S724" s="144"/>
      <c r="T724" s="144"/>
    </row>
    <row r="725" spans="11:20" s="1" customFormat="1" ht="17.100000000000001" customHeight="1">
      <c r="K725" s="131"/>
      <c r="L725" s="131"/>
      <c r="M725" s="154"/>
      <c r="O725" s="120"/>
      <c r="Q725" s="144"/>
      <c r="S725" s="144"/>
      <c r="T725" s="144"/>
    </row>
    <row r="726" spans="11:20" s="1" customFormat="1" ht="17.100000000000001" customHeight="1">
      <c r="K726" s="131"/>
      <c r="L726" s="131"/>
      <c r="M726" s="154"/>
      <c r="O726" s="120"/>
      <c r="Q726" s="144"/>
      <c r="S726" s="144"/>
      <c r="T726" s="144"/>
    </row>
    <row r="727" spans="11:20" s="1" customFormat="1" ht="17.100000000000001" customHeight="1">
      <c r="K727" s="131"/>
      <c r="L727" s="131"/>
      <c r="M727" s="154"/>
      <c r="O727" s="120"/>
      <c r="Q727" s="144"/>
      <c r="S727" s="144"/>
      <c r="T727" s="144"/>
    </row>
    <row r="728" spans="11:20" s="1" customFormat="1" ht="17.100000000000001" customHeight="1">
      <c r="K728" s="131"/>
      <c r="L728" s="131"/>
      <c r="M728" s="154"/>
      <c r="O728" s="120"/>
      <c r="Q728" s="144"/>
      <c r="S728" s="144"/>
      <c r="T728" s="144"/>
    </row>
    <row r="729" spans="11:20" s="1" customFormat="1" ht="17.100000000000001" customHeight="1">
      <c r="K729" s="131"/>
      <c r="L729" s="131"/>
      <c r="M729" s="154"/>
      <c r="O729" s="120"/>
      <c r="Q729" s="144"/>
      <c r="S729" s="144"/>
      <c r="T729" s="144"/>
    </row>
    <row r="730" spans="11:20" s="1" customFormat="1" ht="17.100000000000001" customHeight="1">
      <c r="K730" s="131"/>
      <c r="L730" s="131"/>
      <c r="M730" s="154"/>
      <c r="O730" s="120"/>
      <c r="Q730" s="144"/>
      <c r="S730" s="144"/>
      <c r="T730" s="144"/>
    </row>
    <row r="731" spans="11:20" s="1" customFormat="1" ht="17.100000000000001" customHeight="1">
      <c r="K731" s="131"/>
      <c r="L731" s="131"/>
      <c r="M731" s="154"/>
      <c r="O731" s="120"/>
      <c r="Q731" s="144"/>
      <c r="S731" s="144"/>
      <c r="T731" s="144"/>
    </row>
    <row r="732" spans="11:20" s="1" customFormat="1" ht="17.100000000000001" customHeight="1">
      <c r="K732" s="131"/>
      <c r="L732" s="131"/>
      <c r="M732" s="154"/>
      <c r="O732" s="120"/>
      <c r="Q732" s="144"/>
      <c r="S732" s="144"/>
      <c r="T732" s="144"/>
    </row>
    <row r="733" spans="11:20" s="1" customFormat="1" ht="17.100000000000001" customHeight="1">
      <c r="K733" s="131"/>
      <c r="L733" s="131"/>
      <c r="M733" s="154"/>
      <c r="O733" s="120"/>
      <c r="Q733" s="144"/>
      <c r="S733" s="144"/>
      <c r="T733" s="144"/>
    </row>
    <row r="734" spans="11:20" s="1" customFormat="1" ht="17.100000000000001" customHeight="1">
      <c r="K734" s="131"/>
      <c r="L734" s="131"/>
      <c r="M734" s="154"/>
      <c r="O734" s="120"/>
      <c r="Q734" s="144"/>
      <c r="S734" s="144"/>
      <c r="T734" s="144"/>
    </row>
    <row r="735" spans="11:20" s="1" customFormat="1" ht="17.100000000000001" customHeight="1">
      <c r="K735" s="131"/>
      <c r="L735" s="131"/>
      <c r="M735" s="154"/>
      <c r="O735" s="120"/>
      <c r="Q735" s="144"/>
      <c r="S735" s="144"/>
      <c r="T735" s="144"/>
    </row>
    <row r="736" spans="11:20" s="1" customFormat="1" ht="17.100000000000001" customHeight="1">
      <c r="K736" s="131"/>
      <c r="L736" s="131"/>
      <c r="M736" s="154"/>
      <c r="O736" s="120"/>
      <c r="Q736" s="144"/>
      <c r="S736" s="144"/>
      <c r="T736" s="144"/>
    </row>
    <row r="737" spans="11:20" s="1" customFormat="1" ht="17.100000000000001" customHeight="1">
      <c r="K737" s="131"/>
      <c r="L737" s="131"/>
      <c r="M737" s="154"/>
      <c r="O737" s="120"/>
      <c r="Q737" s="144"/>
      <c r="S737" s="144"/>
      <c r="T737" s="144"/>
    </row>
    <row r="738" spans="11:20" s="1" customFormat="1" ht="17.100000000000001" customHeight="1">
      <c r="K738" s="131"/>
      <c r="L738" s="131"/>
      <c r="M738" s="154"/>
      <c r="O738" s="120"/>
      <c r="Q738" s="144"/>
      <c r="S738" s="144"/>
      <c r="T738" s="144"/>
    </row>
    <row r="739" spans="11:20" s="1" customFormat="1" ht="17.100000000000001" customHeight="1">
      <c r="K739" s="131"/>
      <c r="L739" s="131"/>
      <c r="M739" s="154"/>
      <c r="O739" s="120"/>
      <c r="Q739" s="144"/>
      <c r="S739" s="144"/>
      <c r="T739" s="144"/>
    </row>
    <row r="740" spans="11:20" s="1" customFormat="1" ht="17.100000000000001" customHeight="1">
      <c r="K740" s="131"/>
      <c r="L740" s="131"/>
      <c r="M740" s="154"/>
      <c r="O740" s="120"/>
      <c r="Q740" s="144"/>
      <c r="S740" s="144"/>
      <c r="T740" s="144"/>
    </row>
    <row r="741" spans="11:20" s="1" customFormat="1" ht="17.100000000000001" customHeight="1">
      <c r="K741" s="131"/>
      <c r="L741" s="131"/>
      <c r="M741" s="154"/>
      <c r="O741" s="120"/>
      <c r="Q741" s="144"/>
      <c r="S741" s="144"/>
      <c r="T741" s="144"/>
    </row>
    <row r="742" spans="11:20" s="1" customFormat="1" ht="17.100000000000001" customHeight="1">
      <c r="K742" s="131"/>
      <c r="L742" s="131"/>
      <c r="M742" s="154"/>
      <c r="O742" s="120"/>
      <c r="Q742" s="144"/>
      <c r="S742" s="144"/>
      <c r="T742" s="144"/>
    </row>
    <row r="743" spans="11:20" s="1" customFormat="1" ht="17.100000000000001" customHeight="1">
      <c r="K743" s="131"/>
      <c r="L743" s="131"/>
      <c r="M743" s="154"/>
      <c r="O743" s="120"/>
      <c r="Q743" s="144"/>
      <c r="S743" s="144"/>
      <c r="T743" s="144"/>
    </row>
    <row r="744" spans="11:20" s="1" customFormat="1" ht="17.100000000000001" customHeight="1">
      <c r="K744" s="131"/>
      <c r="L744" s="131"/>
      <c r="M744" s="154"/>
      <c r="O744" s="120"/>
      <c r="Q744" s="144"/>
      <c r="S744" s="144"/>
      <c r="T744" s="144"/>
    </row>
    <row r="745" spans="11:20" s="1" customFormat="1" ht="17.100000000000001" customHeight="1">
      <c r="K745" s="131"/>
      <c r="L745" s="131"/>
      <c r="M745" s="154"/>
      <c r="O745" s="120"/>
      <c r="Q745" s="144"/>
      <c r="S745" s="144"/>
      <c r="T745" s="144"/>
    </row>
    <row r="746" spans="11:20" s="1" customFormat="1" ht="17.100000000000001" customHeight="1">
      <c r="K746" s="131"/>
      <c r="L746" s="131"/>
      <c r="M746" s="154"/>
      <c r="O746" s="120"/>
      <c r="Q746" s="144"/>
      <c r="S746" s="144"/>
      <c r="T746" s="144"/>
    </row>
    <row r="747" spans="11:20" s="1" customFormat="1" ht="17.100000000000001" customHeight="1">
      <c r="K747" s="131"/>
      <c r="L747" s="131"/>
      <c r="M747" s="154"/>
      <c r="O747" s="120"/>
      <c r="Q747" s="144"/>
      <c r="S747" s="144"/>
      <c r="T747" s="144"/>
    </row>
    <row r="748" spans="11:20" s="1" customFormat="1" ht="17.100000000000001" customHeight="1">
      <c r="K748" s="131"/>
      <c r="L748" s="131"/>
      <c r="M748" s="154"/>
      <c r="O748" s="120"/>
      <c r="Q748" s="144"/>
      <c r="S748" s="144"/>
      <c r="T748" s="144"/>
    </row>
    <row r="749" spans="11:20" s="1" customFormat="1" ht="17.100000000000001" customHeight="1">
      <c r="K749" s="131"/>
      <c r="L749" s="131"/>
      <c r="M749" s="154"/>
      <c r="O749" s="120"/>
      <c r="Q749" s="144"/>
      <c r="S749" s="144"/>
      <c r="T749" s="144"/>
    </row>
    <row r="750" spans="11:20" s="1" customFormat="1" ht="17.100000000000001" customHeight="1">
      <c r="K750" s="131"/>
      <c r="L750" s="131"/>
      <c r="M750" s="154"/>
      <c r="O750" s="120"/>
      <c r="Q750" s="144"/>
      <c r="S750" s="144"/>
      <c r="T750" s="144"/>
    </row>
    <row r="751" spans="11:20" s="1" customFormat="1" ht="17.100000000000001" customHeight="1">
      <c r="K751" s="131"/>
      <c r="L751" s="131"/>
      <c r="M751" s="154"/>
      <c r="O751" s="120"/>
      <c r="Q751" s="144"/>
      <c r="S751" s="144"/>
      <c r="T751" s="144"/>
    </row>
    <row r="752" spans="11:20" s="1" customFormat="1" ht="17.100000000000001" customHeight="1">
      <c r="K752" s="131"/>
      <c r="L752" s="131"/>
      <c r="M752" s="154"/>
      <c r="O752" s="120"/>
      <c r="Q752" s="144"/>
      <c r="S752" s="144"/>
      <c r="T752" s="144"/>
    </row>
    <row r="753" spans="11:20" s="1" customFormat="1" ht="17.100000000000001" customHeight="1">
      <c r="K753" s="131"/>
      <c r="L753" s="131"/>
      <c r="M753" s="154"/>
      <c r="O753" s="120"/>
      <c r="Q753" s="144"/>
      <c r="S753" s="144"/>
      <c r="T753" s="144"/>
    </row>
    <row r="754" spans="11:20" s="1" customFormat="1" ht="17.100000000000001" customHeight="1">
      <c r="K754" s="131"/>
      <c r="L754" s="131"/>
      <c r="M754" s="154"/>
      <c r="O754" s="120"/>
      <c r="Q754" s="144"/>
      <c r="S754" s="144"/>
      <c r="T754" s="144"/>
    </row>
    <row r="755" spans="11:20" s="1" customFormat="1" ht="17.100000000000001" customHeight="1">
      <c r="K755" s="131"/>
      <c r="L755" s="131"/>
      <c r="M755" s="154"/>
      <c r="O755" s="120"/>
      <c r="Q755" s="144"/>
      <c r="S755" s="144"/>
      <c r="T755" s="144"/>
    </row>
    <row r="756" spans="11:20" s="1" customFormat="1" ht="17.100000000000001" customHeight="1">
      <c r="K756" s="131"/>
      <c r="L756" s="131"/>
      <c r="M756" s="154"/>
      <c r="O756" s="120"/>
      <c r="Q756" s="144"/>
      <c r="S756" s="144"/>
      <c r="T756" s="144"/>
    </row>
    <row r="757" spans="11:20" s="1" customFormat="1" ht="17.100000000000001" customHeight="1">
      <c r="K757" s="131"/>
      <c r="L757" s="131"/>
      <c r="M757" s="154"/>
      <c r="O757" s="120"/>
      <c r="Q757" s="144"/>
      <c r="S757" s="144"/>
      <c r="T757" s="144"/>
    </row>
    <row r="758" spans="11:20" s="1" customFormat="1" ht="17.100000000000001" customHeight="1">
      <c r="K758" s="131"/>
      <c r="L758" s="131"/>
      <c r="M758" s="154"/>
      <c r="O758" s="120"/>
      <c r="Q758" s="144"/>
      <c r="S758" s="144"/>
      <c r="T758" s="144"/>
    </row>
    <row r="759" spans="11:20" s="1" customFormat="1" ht="17.100000000000001" customHeight="1">
      <c r="K759" s="131"/>
      <c r="L759" s="131"/>
      <c r="M759" s="154"/>
      <c r="O759" s="120"/>
      <c r="Q759" s="144"/>
      <c r="S759" s="144"/>
      <c r="T759" s="144"/>
    </row>
    <row r="760" spans="11:20" s="1" customFormat="1" ht="17.100000000000001" customHeight="1">
      <c r="K760" s="131"/>
      <c r="L760" s="131"/>
      <c r="M760" s="154"/>
      <c r="O760" s="120"/>
      <c r="Q760" s="144"/>
      <c r="S760" s="144"/>
      <c r="T760" s="144"/>
    </row>
    <row r="761" spans="11:20" s="1" customFormat="1" ht="17.100000000000001" customHeight="1">
      <c r="K761" s="131"/>
      <c r="L761" s="131"/>
      <c r="M761" s="154"/>
      <c r="O761" s="120"/>
      <c r="Q761" s="144"/>
      <c r="S761" s="144"/>
      <c r="T761" s="144"/>
    </row>
    <row r="762" spans="11:20" s="1" customFormat="1" ht="17.100000000000001" customHeight="1">
      <c r="K762" s="131"/>
      <c r="L762" s="131"/>
      <c r="M762" s="154"/>
      <c r="O762" s="120"/>
      <c r="Q762" s="144"/>
      <c r="S762" s="144"/>
      <c r="T762" s="144"/>
    </row>
    <row r="763" spans="11:20" s="1" customFormat="1" ht="17.100000000000001" customHeight="1">
      <c r="K763" s="131"/>
      <c r="L763" s="131"/>
      <c r="M763" s="154"/>
      <c r="O763" s="120"/>
      <c r="Q763" s="144"/>
      <c r="S763" s="144"/>
      <c r="T763" s="144"/>
    </row>
    <row r="764" spans="11:20" s="1" customFormat="1" ht="17.100000000000001" customHeight="1">
      <c r="K764" s="131"/>
      <c r="L764" s="131"/>
      <c r="M764" s="154"/>
      <c r="O764" s="120"/>
      <c r="Q764" s="144"/>
      <c r="S764" s="144"/>
      <c r="T764" s="144"/>
    </row>
    <row r="765" spans="11:20" s="1" customFormat="1" ht="17.100000000000001" customHeight="1">
      <c r="K765" s="131"/>
      <c r="L765" s="131"/>
      <c r="M765" s="154"/>
      <c r="O765" s="120"/>
      <c r="Q765" s="144"/>
      <c r="S765" s="144"/>
      <c r="T765" s="144"/>
    </row>
    <row r="766" spans="11:20" s="1" customFormat="1" ht="17.100000000000001" customHeight="1">
      <c r="K766" s="131"/>
      <c r="L766" s="131"/>
      <c r="M766" s="154"/>
      <c r="O766" s="120"/>
      <c r="Q766" s="144"/>
      <c r="S766" s="144"/>
      <c r="T766" s="144"/>
    </row>
    <row r="767" spans="11:20" s="1" customFormat="1" ht="17.100000000000001" customHeight="1">
      <c r="K767" s="131"/>
      <c r="L767" s="131"/>
      <c r="M767" s="154"/>
      <c r="O767" s="120"/>
      <c r="Q767" s="144"/>
      <c r="S767" s="144"/>
      <c r="T767" s="144"/>
    </row>
    <row r="768" spans="11:20" s="1" customFormat="1" ht="17.100000000000001" customHeight="1">
      <c r="K768" s="131"/>
      <c r="L768" s="131"/>
      <c r="M768" s="154"/>
      <c r="O768" s="120"/>
      <c r="Q768" s="144"/>
      <c r="S768" s="144"/>
      <c r="T768" s="144"/>
    </row>
    <row r="769" spans="11:20" s="1" customFormat="1" ht="17.100000000000001" customHeight="1">
      <c r="K769" s="131"/>
      <c r="L769" s="131"/>
      <c r="M769" s="154"/>
      <c r="O769" s="120"/>
      <c r="Q769" s="144"/>
      <c r="S769" s="144"/>
      <c r="T769" s="144"/>
    </row>
    <row r="770" spans="11:20" s="1" customFormat="1" ht="17.100000000000001" customHeight="1">
      <c r="K770" s="131"/>
      <c r="L770" s="131"/>
      <c r="M770" s="154"/>
      <c r="O770" s="120"/>
      <c r="Q770" s="144"/>
      <c r="S770" s="144"/>
      <c r="T770" s="144"/>
    </row>
    <row r="771" spans="11:20" s="1" customFormat="1" ht="17.100000000000001" customHeight="1">
      <c r="K771" s="131"/>
      <c r="L771" s="131"/>
      <c r="M771" s="154"/>
      <c r="O771" s="120"/>
      <c r="Q771" s="144"/>
      <c r="S771" s="144"/>
      <c r="T771" s="144"/>
    </row>
    <row r="772" spans="11:20" s="1" customFormat="1" ht="17.100000000000001" customHeight="1">
      <c r="K772" s="131"/>
      <c r="L772" s="131"/>
      <c r="M772" s="154"/>
      <c r="O772" s="120"/>
      <c r="Q772" s="144"/>
      <c r="S772" s="144"/>
      <c r="T772" s="144"/>
    </row>
    <row r="773" spans="11:20" s="1" customFormat="1" ht="17.100000000000001" customHeight="1">
      <c r="K773" s="131"/>
      <c r="L773" s="131"/>
      <c r="M773" s="154"/>
      <c r="O773" s="120"/>
      <c r="Q773" s="144"/>
      <c r="S773" s="144"/>
      <c r="T773" s="144"/>
    </row>
    <row r="774" spans="11:20" s="1" customFormat="1" ht="17.100000000000001" customHeight="1">
      <c r="K774" s="131"/>
      <c r="L774" s="131"/>
      <c r="M774" s="154"/>
      <c r="O774" s="120"/>
      <c r="Q774" s="144"/>
      <c r="S774" s="144"/>
      <c r="T774" s="144"/>
    </row>
    <row r="775" spans="11:20" s="1" customFormat="1" ht="17.100000000000001" customHeight="1">
      <c r="K775" s="131"/>
      <c r="L775" s="131"/>
      <c r="M775" s="154"/>
      <c r="O775" s="120"/>
      <c r="Q775" s="144"/>
      <c r="S775" s="144"/>
      <c r="T775" s="144"/>
    </row>
    <row r="776" spans="11:20" s="1" customFormat="1" ht="17.100000000000001" customHeight="1">
      <c r="K776" s="131"/>
      <c r="L776" s="131"/>
      <c r="M776" s="154"/>
      <c r="O776" s="120"/>
      <c r="Q776" s="144"/>
      <c r="S776" s="144"/>
      <c r="T776" s="144"/>
    </row>
    <row r="777" spans="11:20" s="1" customFormat="1" ht="17.100000000000001" customHeight="1">
      <c r="K777" s="131"/>
      <c r="L777" s="131"/>
      <c r="M777" s="154"/>
      <c r="O777" s="120"/>
      <c r="Q777" s="144"/>
      <c r="S777" s="144"/>
      <c r="T777" s="144"/>
    </row>
    <row r="778" spans="11:20" s="1" customFormat="1" ht="17.100000000000001" customHeight="1">
      <c r="K778" s="131"/>
      <c r="L778" s="131"/>
      <c r="M778" s="154"/>
      <c r="O778" s="120"/>
      <c r="Q778" s="144"/>
      <c r="S778" s="144"/>
      <c r="T778" s="144"/>
    </row>
    <row r="779" spans="11:20" s="1" customFormat="1" ht="17.100000000000001" customHeight="1">
      <c r="K779" s="131"/>
      <c r="L779" s="131"/>
      <c r="M779" s="154"/>
      <c r="O779" s="120"/>
      <c r="Q779" s="144"/>
      <c r="S779" s="144"/>
      <c r="T779" s="144"/>
    </row>
    <row r="780" spans="11:20" s="1" customFormat="1" ht="17.100000000000001" customHeight="1">
      <c r="K780" s="131"/>
      <c r="L780" s="131"/>
      <c r="M780" s="154"/>
      <c r="O780" s="120"/>
      <c r="Q780" s="144"/>
      <c r="S780" s="144"/>
      <c r="T780" s="144"/>
    </row>
    <row r="781" spans="11:20" s="1" customFormat="1" ht="17.100000000000001" customHeight="1">
      <c r="K781" s="131"/>
      <c r="L781" s="131"/>
      <c r="M781" s="154"/>
      <c r="O781" s="120"/>
      <c r="Q781" s="144"/>
      <c r="S781" s="144"/>
      <c r="T781" s="144"/>
    </row>
    <row r="782" spans="11:20" s="1" customFormat="1" ht="17.100000000000001" customHeight="1">
      <c r="K782" s="131"/>
      <c r="L782" s="131"/>
      <c r="M782" s="154"/>
      <c r="O782" s="120"/>
      <c r="Q782" s="144"/>
      <c r="S782" s="144"/>
      <c r="T782" s="144"/>
    </row>
    <row r="783" spans="11:20" s="1" customFormat="1" ht="17.100000000000001" customHeight="1">
      <c r="K783" s="131"/>
      <c r="L783" s="131"/>
      <c r="M783" s="154"/>
      <c r="O783" s="120"/>
      <c r="Q783" s="144"/>
      <c r="S783" s="144"/>
      <c r="T783" s="144"/>
    </row>
    <row r="784" spans="11:20" s="1" customFormat="1" ht="17.100000000000001" customHeight="1">
      <c r="K784" s="131"/>
      <c r="L784" s="131"/>
      <c r="M784" s="154"/>
      <c r="O784" s="120"/>
      <c r="Q784" s="144"/>
      <c r="S784" s="144"/>
      <c r="T784" s="144"/>
    </row>
    <row r="785" spans="11:20" s="1" customFormat="1" ht="17.100000000000001" customHeight="1">
      <c r="K785" s="131"/>
      <c r="L785" s="131"/>
      <c r="M785" s="154"/>
      <c r="O785" s="120"/>
      <c r="Q785" s="144"/>
      <c r="S785" s="144"/>
      <c r="T785" s="144"/>
    </row>
    <row r="786" spans="11:20" s="1" customFormat="1" ht="17.100000000000001" customHeight="1">
      <c r="K786" s="131"/>
      <c r="L786" s="131"/>
      <c r="M786" s="154"/>
      <c r="O786" s="120"/>
      <c r="Q786" s="144"/>
      <c r="S786" s="144"/>
      <c r="T786" s="144"/>
    </row>
    <row r="787" spans="11:20" s="1" customFormat="1" ht="17.100000000000001" customHeight="1">
      <c r="K787" s="131"/>
      <c r="L787" s="131"/>
      <c r="M787" s="154"/>
      <c r="O787" s="120"/>
      <c r="Q787" s="144"/>
      <c r="S787" s="144"/>
      <c r="T787" s="144"/>
    </row>
    <row r="788" spans="11:20" s="1" customFormat="1" ht="17.100000000000001" customHeight="1">
      <c r="K788" s="131"/>
      <c r="L788" s="131"/>
      <c r="M788" s="154"/>
      <c r="O788" s="120"/>
      <c r="Q788" s="144"/>
      <c r="S788" s="144"/>
      <c r="T788" s="144"/>
    </row>
    <row r="789" spans="11:20" s="1" customFormat="1" ht="17.100000000000001" customHeight="1">
      <c r="K789" s="131"/>
      <c r="L789" s="131"/>
      <c r="M789" s="154"/>
      <c r="O789" s="120"/>
      <c r="Q789" s="144"/>
      <c r="S789" s="144"/>
      <c r="T789" s="144"/>
    </row>
    <row r="790" spans="11:20" s="1" customFormat="1" ht="17.100000000000001" customHeight="1">
      <c r="K790" s="131"/>
      <c r="L790" s="131"/>
      <c r="M790" s="154"/>
      <c r="O790" s="120"/>
      <c r="Q790" s="144"/>
      <c r="S790" s="144"/>
      <c r="T790" s="144"/>
    </row>
    <row r="791" spans="11:20" s="1" customFormat="1" ht="17.100000000000001" customHeight="1">
      <c r="K791" s="131"/>
      <c r="L791" s="131"/>
      <c r="M791" s="154"/>
      <c r="O791" s="120"/>
      <c r="Q791" s="144"/>
      <c r="S791" s="144"/>
      <c r="T791" s="144"/>
    </row>
    <row r="792" spans="11:20" s="1" customFormat="1" ht="17.100000000000001" customHeight="1">
      <c r="K792" s="131"/>
      <c r="L792" s="131"/>
      <c r="M792" s="154"/>
      <c r="O792" s="120"/>
      <c r="Q792" s="144"/>
      <c r="S792" s="144"/>
      <c r="T792" s="144"/>
    </row>
    <row r="793" spans="11:20" s="1" customFormat="1" ht="17.100000000000001" customHeight="1">
      <c r="K793" s="131"/>
      <c r="L793" s="131"/>
      <c r="M793" s="154"/>
      <c r="O793" s="120"/>
      <c r="Q793" s="144"/>
      <c r="S793" s="144"/>
      <c r="T793" s="144"/>
    </row>
    <row r="794" spans="11:20" s="1" customFormat="1" ht="17.100000000000001" customHeight="1">
      <c r="K794" s="131"/>
      <c r="L794" s="131"/>
      <c r="M794" s="154"/>
      <c r="O794" s="120"/>
      <c r="Q794" s="144"/>
      <c r="S794" s="144"/>
      <c r="T794" s="144"/>
    </row>
    <row r="795" spans="11:20" s="1" customFormat="1" ht="17.100000000000001" customHeight="1">
      <c r="K795" s="131"/>
      <c r="L795" s="131"/>
      <c r="M795" s="154"/>
      <c r="O795" s="120"/>
      <c r="Q795" s="144"/>
      <c r="S795" s="144"/>
      <c r="T795" s="144"/>
    </row>
    <row r="796" spans="11:20" s="1" customFormat="1" ht="17.100000000000001" customHeight="1">
      <c r="K796" s="131"/>
      <c r="L796" s="131"/>
      <c r="M796" s="154"/>
      <c r="O796" s="120"/>
      <c r="Q796" s="144"/>
      <c r="S796" s="144"/>
      <c r="T796" s="144"/>
    </row>
    <row r="797" spans="11:20" s="1" customFormat="1" ht="17.100000000000001" customHeight="1">
      <c r="K797" s="131"/>
      <c r="L797" s="131"/>
      <c r="M797" s="154"/>
      <c r="O797" s="120"/>
      <c r="Q797" s="144"/>
      <c r="S797" s="144"/>
      <c r="T797" s="144"/>
    </row>
    <row r="798" spans="11:20" s="1" customFormat="1" ht="17.100000000000001" customHeight="1">
      <c r="K798" s="131"/>
      <c r="L798" s="131"/>
      <c r="M798" s="154"/>
      <c r="O798" s="120"/>
      <c r="Q798" s="144"/>
      <c r="S798" s="144"/>
      <c r="T798" s="144"/>
    </row>
    <row r="799" spans="11:20" s="1" customFormat="1" ht="17.100000000000001" customHeight="1">
      <c r="K799" s="131"/>
      <c r="L799" s="131"/>
      <c r="M799" s="154"/>
      <c r="O799" s="120"/>
      <c r="Q799" s="144"/>
      <c r="S799" s="144"/>
      <c r="T799" s="144"/>
    </row>
    <row r="800" spans="11:20" s="1" customFormat="1" ht="17.100000000000001" customHeight="1">
      <c r="K800" s="131"/>
      <c r="L800" s="131"/>
      <c r="M800" s="154"/>
      <c r="O800" s="120"/>
      <c r="Q800" s="144"/>
      <c r="S800" s="144"/>
      <c r="T800" s="144"/>
    </row>
    <row r="801" spans="11:20" s="1" customFormat="1" ht="17.100000000000001" customHeight="1">
      <c r="K801" s="131"/>
      <c r="L801" s="131"/>
      <c r="M801" s="154"/>
      <c r="O801" s="120"/>
      <c r="Q801" s="144"/>
      <c r="S801" s="144"/>
      <c r="T801" s="144"/>
    </row>
    <row r="802" spans="11:20" s="1" customFormat="1" ht="17.100000000000001" customHeight="1">
      <c r="K802" s="131"/>
      <c r="L802" s="131"/>
      <c r="M802" s="154"/>
      <c r="O802" s="120"/>
      <c r="Q802" s="144"/>
      <c r="S802" s="144"/>
      <c r="T802" s="144"/>
    </row>
    <row r="803" spans="11:20" s="1" customFormat="1" ht="17.100000000000001" customHeight="1">
      <c r="K803" s="131"/>
      <c r="L803" s="131"/>
      <c r="M803" s="154"/>
      <c r="O803" s="120"/>
      <c r="Q803" s="144"/>
      <c r="S803" s="144"/>
      <c r="T803" s="144"/>
    </row>
    <row r="804" spans="11:20" s="1" customFormat="1" ht="17.100000000000001" customHeight="1">
      <c r="K804" s="131"/>
      <c r="L804" s="131"/>
      <c r="M804" s="154"/>
      <c r="O804" s="120"/>
      <c r="Q804" s="144"/>
      <c r="S804" s="144"/>
      <c r="T804" s="144"/>
    </row>
    <row r="805" spans="11:20" s="1" customFormat="1" ht="17.100000000000001" customHeight="1">
      <c r="K805" s="131"/>
      <c r="L805" s="131"/>
      <c r="M805" s="154"/>
      <c r="O805" s="120"/>
      <c r="Q805" s="144"/>
      <c r="S805" s="144"/>
      <c r="T805" s="144"/>
    </row>
    <row r="806" spans="11:20" s="1" customFormat="1" ht="17.100000000000001" customHeight="1">
      <c r="K806" s="131"/>
      <c r="L806" s="131"/>
      <c r="M806" s="154"/>
      <c r="O806" s="120"/>
      <c r="Q806" s="144"/>
      <c r="S806" s="144"/>
      <c r="T806" s="144"/>
    </row>
    <row r="807" spans="11:20" s="1" customFormat="1" ht="17.100000000000001" customHeight="1">
      <c r="K807" s="131"/>
      <c r="L807" s="131"/>
      <c r="M807" s="154"/>
      <c r="O807" s="120"/>
      <c r="Q807" s="144"/>
      <c r="S807" s="144"/>
      <c r="T807" s="144"/>
    </row>
    <row r="808" spans="11:20" s="1" customFormat="1" ht="17.100000000000001" customHeight="1">
      <c r="K808" s="131"/>
      <c r="L808" s="131"/>
      <c r="M808" s="154"/>
      <c r="O808" s="120"/>
      <c r="Q808" s="144"/>
      <c r="S808" s="144"/>
      <c r="T808" s="144"/>
    </row>
    <row r="809" spans="11:20" s="1" customFormat="1" ht="17.100000000000001" customHeight="1">
      <c r="K809" s="131"/>
      <c r="L809" s="131"/>
      <c r="M809" s="154"/>
      <c r="O809" s="120"/>
      <c r="Q809" s="144"/>
      <c r="S809" s="144"/>
      <c r="T809" s="144"/>
    </row>
    <row r="810" spans="11:20" s="1" customFormat="1" ht="17.100000000000001" customHeight="1">
      <c r="K810" s="131"/>
      <c r="L810" s="131"/>
      <c r="M810" s="154"/>
      <c r="O810" s="120"/>
      <c r="Q810" s="144"/>
      <c r="S810" s="144"/>
      <c r="T810" s="144"/>
    </row>
    <row r="811" spans="11:20" s="1" customFormat="1" ht="17.100000000000001" customHeight="1">
      <c r="K811" s="131"/>
      <c r="L811" s="131"/>
      <c r="M811" s="154"/>
      <c r="O811" s="120"/>
      <c r="Q811" s="144"/>
      <c r="S811" s="144"/>
      <c r="T811" s="144"/>
    </row>
    <row r="812" spans="11:20" s="1" customFormat="1" ht="17.100000000000001" customHeight="1">
      <c r="K812" s="131"/>
      <c r="L812" s="131"/>
      <c r="M812" s="154"/>
      <c r="O812" s="120"/>
      <c r="Q812" s="144"/>
      <c r="S812" s="144"/>
      <c r="T812" s="144"/>
    </row>
    <row r="813" spans="11:20" s="1" customFormat="1" ht="17.100000000000001" customHeight="1">
      <c r="K813" s="131"/>
      <c r="L813" s="131"/>
      <c r="M813" s="154"/>
      <c r="O813" s="120"/>
      <c r="Q813" s="144"/>
      <c r="S813" s="144"/>
      <c r="T813" s="144"/>
    </row>
    <row r="814" spans="11:20" s="1" customFormat="1" ht="17.100000000000001" customHeight="1">
      <c r="K814" s="131"/>
      <c r="L814" s="131"/>
      <c r="M814" s="154"/>
      <c r="O814" s="120"/>
      <c r="Q814" s="144"/>
      <c r="S814" s="144"/>
      <c r="T814" s="144"/>
    </row>
    <row r="815" spans="11:20" s="1" customFormat="1" ht="17.100000000000001" customHeight="1">
      <c r="K815" s="131"/>
      <c r="L815" s="131"/>
      <c r="M815" s="154"/>
      <c r="O815" s="120"/>
      <c r="Q815" s="144"/>
      <c r="S815" s="144"/>
      <c r="T815" s="144"/>
    </row>
    <row r="816" spans="11:20" s="1" customFormat="1" ht="17.100000000000001" customHeight="1">
      <c r="K816" s="131"/>
      <c r="L816" s="131"/>
      <c r="M816" s="154"/>
      <c r="O816" s="120"/>
      <c r="Q816" s="144"/>
      <c r="S816" s="144"/>
      <c r="T816" s="144"/>
    </row>
    <row r="817" spans="11:20" s="1" customFormat="1" ht="17.100000000000001" customHeight="1">
      <c r="K817" s="131"/>
      <c r="L817" s="131"/>
      <c r="M817" s="154"/>
      <c r="O817" s="120"/>
      <c r="Q817" s="144"/>
      <c r="S817" s="144"/>
      <c r="T817" s="144"/>
    </row>
    <row r="818" spans="11:20" s="1" customFormat="1" ht="17.100000000000001" customHeight="1">
      <c r="K818" s="131"/>
      <c r="L818" s="131"/>
      <c r="M818" s="154"/>
      <c r="O818" s="120"/>
      <c r="Q818" s="144"/>
      <c r="S818" s="144"/>
      <c r="T818" s="144"/>
    </row>
    <row r="819" spans="11:20" s="1" customFormat="1" ht="17.100000000000001" customHeight="1">
      <c r="K819" s="131"/>
      <c r="L819" s="131"/>
      <c r="M819" s="154"/>
      <c r="O819" s="120"/>
      <c r="Q819" s="144"/>
      <c r="S819" s="144"/>
      <c r="T819" s="144"/>
    </row>
    <row r="820" spans="11:20" s="1" customFormat="1" ht="17.100000000000001" customHeight="1">
      <c r="K820" s="131"/>
      <c r="L820" s="131"/>
      <c r="M820" s="154"/>
      <c r="O820" s="120"/>
      <c r="Q820" s="144"/>
      <c r="S820" s="144"/>
      <c r="T820" s="144"/>
    </row>
    <row r="821" spans="11:20" s="1" customFormat="1" ht="17.100000000000001" customHeight="1">
      <c r="K821" s="131"/>
      <c r="L821" s="131"/>
      <c r="M821" s="154"/>
      <c r="O821" s="120"/>
      <c r="Q821" s="144"/>
      <c r="S821" s="144"/>
      <c r="T821" s="144"/>
    </row>
    <row r="822" spans="11:20" s="1" customFormat="1" ht="17.100000000000001" customHeight="1">
      <c r="K822" s="131"/>
      <c r="L822" s="131"/>
      <c r="M822" s="154"/>
      <c r="O822" s="120"/>
      <c r="Q822" s="144"/>
      <c r="S822" s="144"/>
      <c r="T822" s="144"/>
    </row>
    <row r="823" spans="11:20" s="1" customFormat="1" ht="17.100000000000001" customHeight="1">
      <c r="K823" s="131"/>
      <c r="L823" s="131"/>
      <c r="M823" s="154"/>
      <c r="O823" s="120"/>
      <c r="Q823" s="144"/>
      <c r="S823" s="144"/>
      <c r="T823" s="144"/>
    </row>
    <row r="824" spans="11:20" s="1" customFormat="1" ht="17.100000000000001" customHeight="1">
      <c r="K824" s="131"/>
      <c r="L824" s="131"/>
      <c r="M824" s="154"/>
      <c r="O824" s="120"/>
      <c r="Q824" s="144"/>
      <c r="S824" s="144"/>
      <c r="T824" s="144"/>
    </row>
    <row r="825" spans="11:20" s="1" customFormat="1" ht="17.100000000000001" customHeight="1">
      <c r="K825" s="131"/>
      <c r="L825" s="131"/>
      <c r="M825" s="154"/>
      <c r="O825" s="120"/>
      <c r="Q825" s="144"/>
      <c r="S825" s="144"/>
      <c r="T825" s="144"/>
    </row>
    <row r="826" spans="11:20" s="1" customFormat="1" ht="17.100000000000001" customHeight="1">
      <c r="K826" s="131"/>
      <c r="L826" s="131"/>
      <c r="M826" s="154"/>
      <c r="O826" s="120"/>
      <c r="Q826" s="144"/>
      <c r="S826" s="144"/>
      <c r="T826" s="144"/>
    </row>
    <row r="827" spans="11:20" s="1" customFormat="1" ht="17.100000000000001" customHeight="1">
      <c r="K827" s="131"/>
      <c r="L827" s="131"/>
      <c r="M827" s="154"/>
      <c r="O827" s="120"/>
      <c r="Q827" s="144"/>
      <c r="S827" s="144"/>
      <c r="T827" s="144"/>
    </row>
    <row r="828" spans="11:20" s="1" customFormat="1" ht="17.100000000000001" customHeight="1">
      <c r="K828" s="131"/>
      <c r="L828" s="131"/>
      <c r="M828" s="154"/>
      <c r="O828" s="120"/>
      <c r="Q828" s="144"/>
      <c r="S828" s="144"/>
      <c r="T828" s="144"/>
    </row>
    <row r="829" spans="11:20" s="1" customFormat="1" ht="17.100000000000001" customHeight="1">
      <c r="K829" s="131"/>
      <c r="L829" s="131"/>
      <c r="M829" s="154"/>
      <c r="O829" s="120"/>
      <c r="Q829" s="144"/>
      <c r="S829" s="144"/>
      <c r="T829" s="144"/>
    </row>
    <row r="830" spans="11:20" s="1" customFormat="1" ht="17.100000000000001" customHeight="1">
      <c r="K830" s="131"/>
      <c r="L830" s="131"/>
      <c r="M830" s="154"/>
      <c r="O830" s="120"/>
      <c r="Q830" s="144"/>
      <c r="S830" s="144"/>
      <c r="T830" s="144"/>
    </row>
    <row r="831" spans="11:20" s="1" customFormat="1" ht="17.100000000000001" customHeight="1">
      <c r="K831" s="131"/>
      <c r="L831" s="131"/>
      <c r="M831" s="154"/>
      <c r="O831" s="120"/>
      <c r="Q831" s="144"/>
      <c r="S831" s="144"/>
      <c r="T831" s="144"/>
    </row>
    <row r="832" spans="11:20" s="1" customFormat="1" ht="17.100000000000001" customHeight="1">
      <c r="K832" s="131"/>
      <c r="L832" s="131"/>
      <c r="M832" s="154"/>
      <c r="O832" s="120"/>
      <c r="Q832" s="144"/>
      <c r="S832" s="144"/>
      <c r="T832" s="144"/>
    </row>
    <row r="833" spans="11:20" s="1" customFormat="1" ht="17.100000000000001" customHeight="1">
      <c r="K833" s="131"/>
      <c r="L833" s="131"/>
      <c r="M833" s="154"/>
      <c r="O833" s="120"/>
      <c r="Q833" s="144"/>
      <c r="S833" s="144"/>
      <c r="T833" s="144"/>
    </row>
    <row r="834" spans="11:20" s="1" customFormat="1" ht="17.100000000000001" customHeight="1">
      <c r="K834" s="131"/>
      <c r="L834" s="131"/>
      <c r="M834" s="154"/>
      <c r="O834" s="120"/>
      <c r="Q834" s="144"/>
      <c r="S834" s="144"/>
      <c r="T834" s="144"/>
    </row>
    <row r="835" spans="11:20" s="1" customFormat="1" ht="17.100000000000001" customHeight="1">
      <c r="K835" s="131"/>
      <c r="L835" s="131"/>
      <c r="M835" s="154"/>
      <c r="O835" s="120"/>
      <c r="Q835" s="144"/>
      <c r="S835" s="144"/>
      <c r="T835" s="144"/>
    </row>
    <row r="836" spans="11:20" s="1" customFormat="1" ht="17.100000000000001" customHeight="1">
      <c r="K836" s="131"/>
      <c r="L836" s="131"/>
      <c r="M836" s="154"/>
      <c r="O836" s="120"/>
      <c r="Q836" s="144"/>
      <c r="S836" s="144"/>
      <c r="T836" s="144"/>
    </row>
    <row r="837" spans="11:20" s="1" customFormat="1" ht="17.100000000000001" customHeight="1">
      <c r="K837" s="131"/>
      <c r="L837" s="131"/>
      <c r="M837" s="154"/>
      <c r="O837" s="120"/>
      <c r="Q837" s="144"/>
      <c r="S837" s="144"/>
      <c r="T837" s="144"/>
    </row>
    <row r="838" spans="11:20" s="1" customFormat="1" ht="17.100000000000001" customHeight="1">
      <c r="K838" s="131"/>
      <c r="L838" s="131"/>
      <c r="M838" s="154"/>
      <c r="O838" s="120"/>
      <c r="Q838" s="144"/>
      <c r="S838" s="144"/>
      <c r="T838" s="144"/>
    </row>
    <row r="839" spans="11:20" s="1" customFormat="1" ht="17.100000000000001" customHeight="1">
      <c r="K839" s="131"/>
      <c r="L839" s="131"/>
      <c r="M839" s="154"/>
      <c r="O839" s="120"/>
      <c r="Q839" s="144"/>
      <c r="S839" s="144"/>
      <c r="T839" s="144"/>
    </row>
    <row r="840" spans="11:20" s="1" customFormat="1" ht="17.100000000000001" customHeight="1">
      <c r="K840" s="131"/>
      <c r="L840" s="131"/>
      <c r="M840" s="154"/>
      <c r="O840" s="120"/>
      <c r="Q840" s="144"/>
      <c r="S840" s="144"/>
      <c r="T840" s="144"/>
    </row>
    <row r="841" spans="11:20" s="1" customFormat="1" ht="17.100000000000001" customHeight="1">
      <c r="K841" s="131"/>
      <c r="L841" s="131"/>
      <c r="M841" s="154"/>
      <c r="O841" s="120"/>
      <c r="Q841" s="144"/>
      <c r="S841" s="144"/>
      <c r="T841" s="144"/>
    </row>
    <row r="842" spans="11:20" s="1" customFormat="1" ht="17.100000000000001" customHeight="1">
      <c r="K842" s="131"/>
      <c r="L842" s="131"/>
      <c r="M842" s="154"/>
      <c r="O842" s="120"/>
      <c r="Q842" s="144"/>
      <c r="S842" s="144"/>
      <c r="T842" s="144"/>
    </row>
    <row r="843" spans="11:20" s="1" customFormat="1" ht="17.100000000000001" customHeight="1">
      <c r="K843" s="131"/>
      <c r="L843" s="131"/>
      <c r="M843" s="154"/>
      <c r="O843" s="120"/>
      <c r="Q843" s="144"/>
      <c r="S843" s="144"/>
      <c r="T843" s="144"/>
    </row>
    <row r="844" spans="11:20" s="1" customFormat="1" ht="17.100000000000001" customHeight="1">
      <c r="K844" s="131"/>
      <c r="L844" s="131"/>
      <c r="M844" s="154"/>
      <c r="O844" s="120"/>
      <c r="Q844" s="144"/>
      <c r="S844" s="144"/>
      <c r="T844" s="144"/>
    </row>
    <row r="845" spans="11:20" s="1" customFormat="1" ht="17.100000000000001" customHeight="1">
      <c r="K845" s="131"/>
      <c r="L845" s="131"/>
      <c r="M845" s="154"/>
      <c r="O845" s="120"/>
      <c r="Q845" s="144"/>
      <c r="S845" s="144"/>
      <c r="T845" s="144"/>
    </row>
    <row r="846" spans="11:20" s="1" customFormat="1" ht="17.100000000000001" customHeight="1">
      <c r="K846" s="131"/>
      <c r="L846" s="131"/>
      <c r="M846" s="154"/>
      <c r="O846" s="120"/>
      <c r="Q846" s="144"/>
      <c r="S846" s="144"/>
      <c r="T846" s="144"/>
    </row>
    <row r="847" spans="11:20" s="1" customFormat="1" ht="17.100000000000001" customHeight="1">
      <c r="K847" s="131"/>
      <c r="L847" s="131"/>
      <c r="M847" s="154"/>
      <c r="O847" s="120"/>
      <c r="Q847" s="144"/>
      <c r="S847" s="144"/>
      <c r="T847" s="144"/>
    </row>
    <row r="848" spans="11:20" s="1" customFormat="1" ht="17.100000000000001" customHeight="1">
      <c r="K848" s="131"/>
      <c r="L848" s="131"/>
      <c r="M848" s="154"/>
      <c r="O848" s="120"/>
      <c r="Q848" s="144"/>
      <c r="S848" s="144"/>
      <c r="T848" s="144"/>
    </row>
    <row r="849" spans="11:20" s="1" customFormat="1" ht="17.100000000000001" customHeight="1">
      <c r="K849" s="131"/>
      <c r="L849" s="131"/>
      <c r="M849" s="154"/>
      <c r="O849" s="120"/>
      <c r="Q849" s="144"/>
      <c r="S849" s="144"/>
      <c r="T849" s="144"/>
    </row>
    <row r="850" spans="11:20" s="1" customFormat="1" ht="17.100000000000001" customHeight="1">
      <c r="K850" s="131"/>
      <c r="L850" s="131"/>
      <c r="M850" s="154"/>
      <c r="O850" s="120"/>
      <c r="Q850" s="144"/>
      <c r="S850" s="144"/>
      <c r="T850" s="144"/>
    </row>
    <row r="851" spans="11:20" s="1" customFormat="1" ht="17.100000000000001" customHeight="1">
      <c r="K851" s="131"/>
      <c r="L851" s="131"/>
      <c r="M851" s="154"/>
      <c r="O851" s="120"/>
      <c r="Q851" s="144"/>
      <c r="S851" s="144"/>
      <c r="T851" s="144"/>
    </row>
    <row r="852" spans="11:20" s="1" customFormat="1" ht="17.100000000000001" customHeight="1">
      <c r="K852" s="131"/>
      <c r="L852" s="131"/>
      <c r="M852" s="154"/>
      <c r="O852" s="120"/>
      <c r="Q852" s="144"/>
      <c r="S852" s="144"/>
      <c r="T852" s="144"/>
    </row>
    <row r="853" spans="11:20" s="1" customFormat="1" ht="17.100000000000001" customHeight="1">
      <c r="K853" s="131"/>
      <c r="L853" s="131"/>
      <c r="M853" s="154"/>
      <c r="O853" s="120"/>
      <c r="Q853" s="144"/>
      <c r="S853" s="144"/>
      <c r="T853" s="144"/>
    </row>
    <row r="854" spans="11:20" s="1" customFormat="1" ht="17.100000000000001" customHeight="1">
      <c r="K854" s="131"/>
      <c r="L854" s="131"/>
      <c r="M854" s="154"/>
      <c r="O854" s="120"/>
      <c r="Q854" s="144"/>
      <c r="S854" s="144"/>
      <c r="T854" s="144"/>
    </row>
    <row r="855" spans="11:20" s="1" customFormat="1" ht="17.100000000000001" customHeight="1">
      <c r="K855" s="131"/>
      <c r="L855" s="131"/>
      <c r="M855" s="154"/>
      <c r="O855" s="120"/>
      <c r="Q855" s="144"/>
      <c r="S855" s="144"/>
      <c r="T855" s="144"/>
    </row>
    <row r="856" spans="11:20" s="1" customFormat="1" ht="17.100000000000001" customHeight="1">
      <c r="K856" s="131"/>
      <c r="L856" s="131"/>
      <c r="M856" s="154"/>
      <c r="O856" s="120"/>
      <c r="Q856" s="144"/>
      <c r="S856" s="144"/>
      <c r="T856" s="144"/>
    </row>
    <row r="857" spans="11:20" s="1" customFormat="1" ht="17.100000000000001" customHeight="1">
      <c r="K857" s="131"/>
      <c r="L857" s="131"/>
      <c r="M857" s="154"/>
      <c r="O857" s="120"/>
      <c r="Q857" s="144"/>
      <c r="S857" s="144"/>
      <c r="T857" s="144"/>
    </row>
    <row r="858" spans="11:20" s="1" customFormat="1" ht="17.100000000000001" customHeight="1">
      <c r="K858" s="131"/>
      <c r="L858" s="131"/>
      <c r="M858" s="154"/>
      <c r="O858" s="120"/>
      <c r="Q858" s="144"/>
      <c r="S858" s="144"/>
      <c r="T858" s="144"/>
    </row>
    <row r="859" spans="11:20" s="1" customFormat="1" ht="17.100000000000001" customHeight="1">
      <c r="K859" s="131"/>
      <c r="L859" s="131"/>
      <c r="M859" s="154"/>
      <c r="O859" s="120"/>
      <c r="Q859" s="144"/>
      <c r="S859" s="144"/>
      <c r="T859" s="144"/>
    </row>
    <row r="860" spans="11:20" s="1" customFormat="1" ht="17.100000000000001" customHeight="1">
      <c r="K860" s="131"/>
      <c r="L860" s="131"/>
      <c r="M860" s="154"/>
      <c r="O860" s="120"/>
      <c r="Q860" s="144"/>
      <c r="S860" s="144"/>
      <c r="T860" s="144"/>
    </row>
    <row r="861" spans="11:20" s="1" customFormat="1" ht="17.100000000000001" customHeight="1">
      <c r="K861" s="131"/>
      <c r="L861" s="131"/>
      <c r="M861" s="154"/>
      <c r="O861" s="120"/>
      <c r="Q861" s="144"/>
      <c r="S861" s="144"/>
      <c r="T861" s="144"/>
    </row>
    <row r="862" spans="11:20" s="1" customFormat="1" ht="17.100000000000001" customHeight="1">
      <c r="K862" s="131"/>
      <c r="L862" s="131"/>
      <c r="M862" s="154"/>
      <c r="O862" s="120"/>
      <c r="Q862" s="144"/>
      <c r="S862" s="144"/>
      <c r="T862" s="144"/>
    </row>
    <row r="863" spans="11:20" s="1" customFormat="1" ht="17.100000000000001" customHeight="1">
      <c r="K863" s="131"/>
      <c r="L863" s="131"/>
      <c r="M863" s="154"/>
      <c r="O863" s="120"/>
      <c r="Q863" s="144"/>
      <c r="S863" s="144"/>
      <c r="T863" s="144"/>
    </row>
    <row r="864" spans="11:20" s="1" customFormat="1" ht="17.100000000000001" customHeight="1">
      <c r="K864" s="131"/>
      <c r="L864" s="131"/>
      <c r="M864" s="154"/>
      <c r="O864" s="120"/>
      <c r="Q864" s="144"/>
      <c r="S864" s="144"/>
      <c r="T864" s="144"/>
    </row>
    <row r="865" spans="11:20" s="1" customFormat="1" ht="17.100000000000001" customHeight="1">
      <c r="K865" s="131"/>
      <c r="L865" s="131"/>
      <c r="M865" s="154"/>
      <c r="O865" s="120"/>
      <c r="Q865" s="144"/>
      <c r="S865" s="144"/>
      <c r="T865" s="144"/>
    </row>
    <row r="866" spans="11:20" s="1" customFormat="1" ht="17.100000000000001" customHeight="1">
      <c r="K866" s="131"/>
      <c r="L866" s="131"/>
      <c r="M866" s="154"/>
      <c r="O866" s="120"/>
      <c r="Q866" s="144"/>
      <c r="S866" s="144"/>
      <c r="T866" s="144"/>
    </row>
    <row r="867" spans="11:20" s="1" customFormat="1" ht="17.100000000000001" customHeight="1">
      <c r="K867" s="131"/>
      <c r="L867" s="131"/>
      <c r="M867" s="154"/>
      <c r="O867" s="120"/>
      <c r="Q867" s="144"/>
      <c r="S867" s="144"/>
      <c r="T867" s="144"/>
    </row>
    <row r="868" spans="11:20" s="1" customFormat="1" ht="17.100000000000001" customHeight="1">
      <c r="K868" s="131"/>
      <c r="L868" s="131"/>
      <c r="M868" s="154"/>
      <c r="O868" s="120"/>
      <c r="Q868" s="144"/>
      <c r="S868" s="144"/>
      <c r="T868" s="144"/>
    </row>
    <row r="869" spans="11:20" s="1" customFormat="1" ht="17.100000000000001" customHeight="1">
      <c r="K869" s="131"/>
      <c r="L869" s="131"/>
      <c r="M869" s="154"/>
      <c r="O869" s="120"/>
      <c r="Q869" s="144"/>
      <c r="S869" s="144"/>
      <c r="T869" s="144"/>
    </row>
    <row r="870" spans="11:20" s="1" customFormat="1" ht="17.100000000000001" customHeight="1">
      <c r="K870" s="131"/>
      <c r="L870" s="131"/>
      <c r="M870" s="154"/>
      <c r="O870" s="120"/>
      <c r="Q870" s="144"/>
      <c r="S870" s="144"/>
      <c r="T870" s="144"/>
    </row>
    <row r="871" spans="11:20" s="1" customFormat="1" ht="17.100000000000001" customHeight="1">
      <c r="K871" s="131"/>
      <c r="L871" s="131"/>
      <c r="M871" s="154"/>
      <c r="O871" s="120"/>
      <c r="Q871" s="144"/>
      <c r="S871" s="144"/>
      <c r="T871" s="144"/>
    </row>
    <row r="872" spans="11:20" s="1" customFormat="1" ht="17.100000000000001" customHeight="1">
      <c r="K872" s="131"/>
      <c r="L872" s="131"/>
      <c r="M872" s="154"/>
      <c r="O872" s="120"/>
      <c r="Q872" s="144"/>
      <c r="S872" s="144"/>
      <c r="T872" s="144"/>
    </row>
    <row r="873" spans="11:20" s="1" customFormat="1" ht="17.100000000000001" customHeight="1">
      <c r="K873" s="131"/>
      <c r="L873" s="131"/>
      <c r="M873" s="154"/>
      <c r="O873" s="120"/>
      <c r="Q873" s="144"/>
      <c r="S873" s="144"/>
      <c r="T873" s="144"/>
    </row>
    <row r="874" spans="11:20" s="1" customFormat="1" ht="17.100000000000001" customHeight="1">
      <c r="K874" s="131"/>
      <c r="L874" s="131"/>
      <c r="M874" s="154"/>
      <c r="O874" s="120"/>
      <c r="Q874" s="144"/>
      <c r="S874" s="144"/>
      <c r="T874" s="144"/>
    </row>
    <row r="875" spans="11:20" s="1" customFormat="1" ht="17.100000000000001" customHeight="1">
      <c r="K875" s="131"/>
      <c r="L875" s="131"/>
      <c r="M875" s="154"/>
      <c r="O875" s="120"/>
      <c r="Q875" s="144"/>
      <c r="S875" s="144"/>
      <c r="T875" s="144"/>
    </row>
    <row r="876" spans="11:20" s="1" customFormat="1" ht="17.100000000000001" customHeight="1">
      <c r="K876" s="131"/>
      <c r="L876" s="131"/>
      <c r="M876" s="154"/>
      <c r="O876" s="120"/>
      <c r="Q876" s="144"/>
      <c r="S876" s="144"/>
      <c r="T876" s="144"/>
    </row>
    <row r="877" spans="11:20" s="1" customFormat="1" ht="17.100000000000001" customHeight="1">
      <c r="K877" s="131"/>
      <c r="L877" s="131"/>
      <c r="M877" s="154"/>
      <c r="O877" s="120"/>
      <c r="Q877" s="144"/>
      <c r="S877" s="144"/>
      <c r="T877" s="144"/>
    </row>
    <row r="878" spans="11:20" s="1" customFormat="1" ht="17.100000000000001" customHeight="1">
      <c r="K878" s="131"/>
      <c r="L878" s="131"/>
      <c r="M878" s="154"/>
      <c r="O878" s="120"/>
      <c r="Q878" s="144"/>
      <c r="S878" s="144"/>
      <c r="T878" s="144"/>
    </row>
    <row r="879" spans="11:20" s="1" customFormat="1" ht="17.100000000000001" customHeight="1">
      <c r="K879" s="131"/>
      <c r="L879" s="131"/>
      <c r="M879" s="154"/>
      <c r="O879" s="120"/>
      <c r="Q879" s="144"/>
      <c r="S879" s="144"/>
      <c r="T879" s="144"/>
    </row>
    <row r="880" spans="11:20" s="1" customFormat="1" ht="17.100000000000001" customHeight="1">
      <c r="K880" s="131"/>
      <c r="L880" s="131"/>
      <c r="M880" s="154"/>
      <c r="O880" s="120"/>
      <c r="Q880" s="144"/>
      <c r="S880" s="144"/>
      <c r="T880" s="144"/>
    </row>
    <row r="881" spans="11:20" s="1" customFormat="1" ht="17.100000000000001" customHeight="1">
      <c r="K881" s="131"/>
      <c r="L881" s="131"/>
      <c r="M881" s="154"/>
      <c r="O881" s="120"/>
      <c r="Q881" s="144"/>
      <c r="S881" s="144"/>
      <c r="T881" s="144"/>
    </row>
    <row r="882" spans="11:20" s="1" customFormat="1" ht="17.100000000000001" customHeight="1">
      <c r="K882" s="131"/>
      <c r="L882" s="131"/>
      <c r="M882" s="154"/>
      <c r="O882" s="120"/>
      <c r="Q882" s="144"/>
      <c r="S882" s="144"/>
      <c r="T882" s="144"/>
    </row>
    <row r="883" spans="11:20" s="1" customFormat="1" ht="17.100000000000001" customHeight="1">
      <c r="K883" s="131"/>
      <c r="L883" s="131"/>
      <c r="M883" s="154"/>
      <c r="O883" s="120"/>
      <c r="Q883" s="144"/>
      <c r="S883" s="144"/>
      <c r="T883" s="144"/>
    </row>
    <row r="884" spans="11:20" s="1" customFormat="1" ht="17.100000000000001" customHeight="1">
      <c r="K884" s="131"/>
      <c r="L884" s="131"/>
      <c r="M884" s="154"/>
      <c r="O884" s="120"/>
      <c r="Q884" s="144"/>
      <c r="S884" s="144"/>
      <c r="T884" s="144"/>
    </row>
    <row r="885" spans="11:20" s="1" customFormat="1" ht="17.100000000000001" customHeight="1">
      <c r="K885" s="131"/>
      <c r="L885" s="131"/>
      <c r="M885" s="154"/>
      <c r="O885" s="120"/>
      <c r="Q885" s="144"/>
      <c r="S885" s="144"/>
      <c r="T885" s="144"/>
    </row>
    <row r="886" spans="11:20" s="1" customFormat="1" ht="17.100000000000001" customHeight="1">
      <c r="K886" s="131"/>
      <c r="L886" s="131"/>
      <c r="M886" s="154"/>
      <c r="O886" s="120"/>
      <c r="Q886" s="144"/>
      <c r="S886" s="144"/>
      <c r="T886" s="144"/>
    </row>
    <row r="887" spans="11:20" s="1" customFormat="1" ht="17.100000000000001" customHeight="1">
      <c r="K887" s="131"/>
      <c r="L887" s="131"/>
      <c r="M887" s="154"/>
      <c r="O887" s="120"/>
      <c r="Q887" s="144"/>
      <c r="S887" s="144"/>
      <c r="T887" s="144"/>
    </row>
    <row r="888" spans="11:20" s="1" customFormat="1" ht="17.100000000000001" customHeight="1">
      <c r="K888" s="131"/>
      <c r="L888" s="131"/>
      <c r="M888" s="154"/>
      <c r="O888" s="120"/>
      <c r="Q888" s="144"/>
      <c r="S888" s="144"/>
      <c r="T888" s="144"/>
    </row>
    <row r="889" spans="11:20" s="1" customFormat="1" ht="17.100000000000001" customHeight="1">
      <c r="K889" s="131"/>
      <c r="L889" s="131"/>
      <c r="M889" s="154"/>
      <c r="O889" s="120"/>
      <c r="Q889" s="144"/>
      <c r="S889" s="144"/>
      <c r="T889" s="144"/>
    </row>
    <row r="890" spans="11:20" s="1" customFormat="1" ht="17.100000000000001" customHeight="1">
      <c r="K890" s="131"/>
      <c r="L890" s="131"/>
      <c r="M890" s="154"/>
      <c r="O890" s="120"/>
      <c r="Q890" s="144"/>
      <c r="S890" s="144"/>
      <c r="T890" s="144"/>
    </row>
    <row r="891" spans="11:20" s="1" customFormat="1" ht="17.100000000000001" customHeight="1">
      <c r="K891" s="131"/>
      <c r="L891" s="131"/>
      <c r="M891" s="154"/>
      <c r="O891" s="120"/>
      <c r="Q891" s="144"/>
      <c r="S891" s="144"/>
      <c r="T891" s="144"/>
    </row>
    <row r="892" spans="11:20" s="1" customFormat="1" ht="17.100000000000001" customHeight="1">
      <c r="K892" s="131"/>
      <c r="L892" s="131"/>
      <c r="M892" s="154"/>
      <c r="O892" s="120"/>
      <c r="Q892" s="144"/>
      <c r="S892" s="144"/>
      <c r="T892" s="144"/>
    </row>
    <row r="893" spans="11:20" s="1" customFormat="1" ht="17.100000000000001" customHeight="1">
      <c r="K893" s="131"/>
      <c r="L893" s="131"/>
      <c r="M893" s="154"/>
      <c r="O893" s="120"/>
      <c r="Q893" s="144"/>
      <c r="S893" s="144"/>
      <c r="T893" s="144"/>
    </row>
    <row r="894" spans="11:20" s="1" customFormat="1" ht="17.100000000000001" customHeight="1">
      <c r="K894" s="131"/>
      <c r="L894" s="131"/>
      <c r="M894" s="154"/>
      <c r="O894" s="120"/>
      <c r="Q894" s="144"/>
      <c r="S894" s="144"/>
      <c r="T894" s="144"/>
    </row>
    <row r="895" spans="11:20" s="1" customFormat="1" ht="17.100000000000001" customHeight="1">
      <c r="K895" s="131"/>
      <c r="L895" s="131"/>
      <c r="M895" s="154"/>
      <c r="O895" s="120"/>
      <c r="Q895" s="144"/>
      <c r="S895" s="144"/>
      <c r="T895" s="144"/>
    </row>
    <row r="896" spans="11:20" s="1" customFormat="1" ht="17.100000000000001" customHeight="1">
      <c r="K896" s="131"/>
      <c r="L896" s="131"/>
      <c r="M896" s="154"/>
      <c r="O896" s="120"/>
      <c r="Q896" s="144"/>
      <c r="S896" s="144"/>
      <c r="T896" s="144"/>
    </row>
    <row r="897" spans="11:20" s="1" customFormat="1" ht="17.100000000000001" customHeight="1">
      <c r="K897" s="131"/>
      <c r="L897" s="131"/>
      <c r="M897" s="154"/>
      <c r="O897" s="120"/>
      <c r="Q897" s="144"/>
      <c r="S897" s="144"/>
      <c r="T897" s="144"/>
    </row>
    <row r="898" spans="11:20" s="1" customFormat="1" ht="17.100000000000001" customHeight="1">
      <c r="K898" s="131"/>
      <c r="L898" s="131"/>
      <c r="M898" s="154"/>
      <c r="O898" s="120"/>
      <c r="Q898" s="144"/>
      <c r="S898" s="144"/>
      <c r="T898" s="144"/>
    </row>
    <row r="899" spans="11:20" s="1" customFormat="1" ht="17.100000000000001" customHeight="1">
      <c r="K899" s="131"/>
      <c r="L899" s="131"/>
      <c r="M899" s="154"/>
      <c r="O899" s="120"/>
      <c r="Q899" s="144"/>
      <c r="S899" s="144"/>
      <c r="T899" s="144"/>
    </row>
    <row r="900" spans="11:20" s="1" customFormat="1" ht="17.100000000000001" customHeight="1">
      <c r="K900" s="131"/>
      <c r="L900" s="131"/>
      <c r="M900" s="154"/>
      <c r="O900" s="120"/>
      <c r="Q900" s="144"/>
      <c r="S900" s="144"/>
      <c r="T900" s="144"/>
    </row>
    <row r="901" spans="11:20" s="1" customFormat="1" ht="17.100000000000001" customHeight="1">
      <c r="K901" s="131"/>
      <c r="L901" s="131"/>
      <c r="M901" s="154"/>
      <c r="O901" s="120"/>
      <c r="Q901" s="144"/>
      <c r="S901" s="144"/>
      <c r="T901" s="144"/>
    </row>
    <row r="902" spans="11:20" s="1" customFormat="1" ht="17.100000000000001" customHeight="1">
      <c r="K902" s="131"/>
      <c r="L902" s="131"/>
      <c r="M902" s="154"/>
      <c r="O902" s="120"/>
      <c r="Q902" s="144"/>
      <c r="S902" s="144"/>
      <c r="T902" s="144"/>
    </row>
    <row r="903" spans="11:20" s="1" customFormat="1" ht="17.100000000000001" customHeight="1">
      <c r="K903" s="131"/>
      <c r="L903" s="131"/>
      <c r="M903" s="154"/>
      <c r="O903" s="120"/>
      <c r="Q903" s="144"/>
      <c r="S903" s="144"/>
      <c r="T903" s="144"/>
    </row>
    <row r="904" spans="11:20" s="1" customFormat="1" ht="17.100000000000001" customHeight="1">
      <c r="K904" s="131"/>
      <c r="L904" s="131"/>
      <c r="M904" s="154"/>
      <c r="O904" s="120"/>
      <c r="Q904" s="144"/>
      <c r="S904" s="144"/>
      <c r="T904" s="144"/>
    </row>
    <row r="905" spans="11:20" s="1" customFormat="1" ht="17.100000000000001" customHeight="1">
      <c r="K905" s="131"/>
      <c r="L905" s="131"/>
      <c r="M905" s="154"/>
      <c r="O905" s="120"/>
      <c r="Q905" s="144"/>
      <c r="S905" s="144"/>
      <c r="T905" s="144"/>
    </row>
    <row r="906" spans="11:20" s="1" customFormat="1" ht="17.100000000000001" customHeight="1">
      <c r="K906" s="131"/>
      <c r="L906" s="131"/>
      <c r="M906" s="154"/>
      <c r="O906" s="120"/>
      <c r="Q906" s="144"/>
      <c r="S906" s="144"/>
      <c r="T906" s="144"/>
    </row>
    <row r="907" spans="11:20" s="1" customFormat="1" ht="17.100000000000001" customHeight="1">
      <c r="K907" s="131"/>
      <c r="L907" s="131"/>
      <c r="M907" s="154"/>
      <c r="O907" s="120"/>
      <c r="Q907" s="144"/>
      <c r="S907" s="144"/>
      <c r="T907" s="144"/>
    </row>
    <row r="908" spans="11:20" s="1" customFormat="1" ht="17.100000000000001" customHeight="1">
      <c r="K908" s="131"/>
      <c r="L908" s="131"/>
      <c r="M908" s="154"/>
      <c r="O908" s="120"/>
      <c r="Q908" s="144"/>
      <c r="S908" s="144"/>
      <c r="T908" s="144"/>
    </row>
    <row r="909" spans="11:20" s="1" customFormat="1" ht="17.100000000000001" customHeight="1">
      <c r="K909" s="131"/>
      <c r="L909" s="131"/>
      <c r="M909" s="154"/>
      <c r="O909" s="120"/>
      <c r="Q909" s="144"/>
      <c r="S909" s="144"/>
      <c r="T909" s="144"/>
    </row>
    <row r="910" spans="11:20" s="1" customFormat="1" ht="17.100000000000001" customHeight="1">
      <c r="K910" s="131"/>
      <c r="L910" s="131"/>
      <c r="M910" s="154"/>
      <c r="O910" s="120"/>
      <c r="Q910" s="144"/>
      <c r="S910" s="144"/>
      <c r="T910" s="144"/>
    </row>
    <row r="911" spans="11:20" s="1" customFormat="1" ht="17.100000000000001" customHeight="1">
      <c r="K911" s="131"/>
      <c r="L911" s="131"/>
      <c r="M911" s="154"/>
      <c r="O911" s="120"/>
      <c r="Q911" s="144"/>
      <c r="S911" s="144"/>
      <c r="T911" s="144"/>
    </row>
    <row r="912" spans="11:20" s="1" customFormat="1" ht="17.100000000000001" customHeight="1">
      <c r="K912" s="131"/>
      <c r="L912" s="131"/>
      <c r="M912" s="154"/>
      <c r="O912" s="120"/>
      <c r="Q912" s="144"/>
      <c r="S912" s="144"/>
      <c r="T912" s="144"/>
    </row>
    <row r="913" spans="11:20" s="1" customFormat="1" ht="17.100000000000001" customHeight="1">
      <c r="K913" s="131"/>
      <c r="L913" s="131"/>
      <c r="M913" s="154"/>
      <c r="O913" s="120"/>
      <c r="Q913" s="144"/>
      <c r="S913" s="144"/>
      <c r="T913" s="144"/>
    </row>
    <row r="914" spans="11:20" s="1" customFormat="1" ht="17.100000000000001" customHeight="1">
      <c r="K914" s="131"/>
      <c r="L914" s="131"/>
      <c r="M914" s="154"/>
      <c r="O914" s="120"/>
      <c r="Q914" s="144"/>
      <c r="S914" s="144"/>
      <c r="T914" s="144"/>
    </row>
    <row r="915" spans="11:20" s="1" customFormat="1" ht="17.100000000000001" customHeight="1">
      <c r="K915" s="131"/>
      <c r="L915" s="131"/>
      <c r="M915" s="154"/>
      <c r="O915" s="120"/>
      <c r="Q915" s="144"/>
      <c r="S915" s="144"/>
      <c r="T915" s="144"/>
    </row>
    <row r="916" spans="11:20" s="1" customFormat="1" ht="17.100000000000001" customHeight="1">
      <c r="K916" s="131"/>
      <c r="L916" s="131"/>
      <c r="M916" s="154"/>
      <c r="O916" s="120"/>
      <c r="Q916" s="144"/>
      <c r="S916" s="144"/>
      <c r="T916" s="144"/>
    </row>
    <row r="917" spans="11:20" s="1" customFormat="1" ht="17.100000000000001" customHeight="1">
      <c r="K917" s="131"/>
      <c r="L917" s="131"/>
      <c r="M917" s="154"/>
      <c r="O917" s="120"/>
      <c r="Q917" s="144"/>
      <c r="S917" s="144"/>
      <c r="T917" s="144"/>
    </row>
    <row r="918" spans="11:20" s="1" customFormat="1" ht="17.100000000000001" customHeight="1">
      <c r="K918" s="131"/>
      <c r="L918" s="131"/>
      <c r="M918" s="154"/>
      <c r="O918" s="120"/>
      <c r="Q918" s="144"/>
      <c r="S918" s="144"/>
      <c r="T918" s="144"/>
    </row>
    <row r="919" spans="11:20" s="1" customFormat="1" ht="17.100000000000001" customHeight="1">
      <c r="K919" s="131"/>
      <c r="L919" s="131"/>
      <c r="M919" s="154"/>
      <c r="O919" s="120"/>
      <c r="Q919" s="144"/>
      <c r="S919" s="144"/>
      <c r="T919" s="144"/>
    </row>
    <row r="920" spans="11:20" s="1" customFormat="1" ht="17.100000000000001" customHeight="1">
      <c r="K920" s="131"/>
      <c r="L920" s="131"/>
      <c r="M920" s="154"/>
      <c r="O920" s="120"/>
      <c r="Q920" s="144"/>
      <c r="S920" s="144"/>
      <c r="T920" s="144"/>
    </row>
    <row r="921" spans="11:20" s="1" customFormat="1" ht="17.100000000000001" customHeight="1">
      <c r="K921" s="131"/>
      <c r="L921" s="131"/>
      <c r="M921" s="154"/>
      <c r="O921" s="120"/>
      <c r="Q921" s="144"/>
      <c r="S921" s="144"/>
      <c r="T921" s="144"/>
    </row>
    <row r="922" spans="11:20" s="1" customFormat="1" ht="17.100000000000001" customHeight="1">
      <c r="K922" s="131"/>
      <c r="L922" s="131"/>
      <c r="M922" s="154"/>
      <c r="O922" s="120"/>
      <c r="Q922" s="144"/>
      <c r="S922" s="144"/>
      <c r="T922" s="144"/>
    </row>
    <row r="923" spans="11:20" s="1" customFormat="1" ht="17.100000000000001" customHeight="1">
      <c r="K923" s="131"/>
      <c r="L923" s="131"/>
      <c r="M923" s="154"/>
      <c r="O923" s="120"/>
      <c r="Q923" s="144"/>
      <c r="S923" s="144"/>
      <c r="T923" s="144"/>
    </row>
    <row r="924" spans="11:20" s="1" customFormat="1" ht="17.100000000000001" customHeight="1">
      <c r="K924" s="131"/>
      <c r="L924" s="131"/>
      <c r="M924" s="154"/>
      <c r="O924" s="120"/>
      <c r="Q924" s="144"/>
      <c r="S924" s="144"/>
      <c r="T924" s="144"/>
    </row>
    <row r="925" spans="11:20" s="1" customFormat="1" ht="17.100000000000001" customHeight="1">
      <c r="K925" s="131"/>
      <c r="L925" s="131"/>
      <c r="M925" s="154"/>
      <c r="O925" s="120"/>
      <c r="Q925" s="144"/>
      <c r="S925" s="144"/>
      <c r="T925" s="144"/>
    </row>
    <row r="926" spans="11:20" s="1" customFormat="1" ht="17.100000000000001" customHeight="1">
      <c r="K926" s="131"/>
      <c r="L926" s="131"/>
      <c r="M926" s="154"/>
      <c r="O926" s="120"/>
      <c r="Q926" s="144"/>
      <c r="S926" s="144"/>
      <c r="T926" s="144"/>
    </row>
    <row r="927" spans="11:20" s="1" customFormat="1" ht="17.100000000000001" customHeight="1">
      <c r="K927" s="131"/>
      <c r="L927" s="131"/>
      <c r="M927" s="154"/>
      <c r="O927" s="120"/>
      <c r="Q927" s="144"/>
      <c r="S927" s="144"/>
      <c r="T927" s="144"/>
    </row>
    <row r="928" spans="11:20" s="1" customFormat="1" ht="17.100000000000001" customHeight="1">
      <c r="K928" s="131"/>
      <c r="L928" s="131"/>
      <c r="M928" s="154"/>
      <c r="O928" s="120"/>
      <c r="Q928" s="144"/>
      <c r="S928" s="144"/>
      <c r="T928" s="144"/>
    </row>
    <row r="929" spans="11:20" s="1" customFormat="1" ht="17.100000000000001" customHeight="1">
      <c r="K929" s="131"/>
      <c r="L929" s="131"/>
      <c r="M929" s="154"/>
      <c r="O929" s="120"/>
      <c r="Q929" s="144"/>
      <c r="S929" s="144"/>
      <c r="T929" s="144"/>
    </row>
    <row r="930" spans="11:20" s="1" customFormat="1" ht="17.100000000000001" customHeight="1">
      <c r="K930" s="131"/>
      <c r="L930" s="131"/>
      <c r="M930" s="154"/>
      <c r="O930" s="120"/>
      <c r="Q930" s="144"/>
      <c r="S930" s="144"/>
      <c r="T930" s="144"/>
    </row>
    <row r="931" spans="11:20" s="1" customFormat="1" ht="17.100000000000001" customHeight="1">
      <c r="K931" s="131"/>
      <c r="L931" s="131"/>
      <c r="M931" s="154"/>
      <c r="O931" s="120"/>
      <c r="Q931" s="144"/>
      <c r="S931" s="144"/>
      <c r="T931" s="144"/>
    </row>
    <row r="932" spans="11:20" s="1" customFormat="1" ht="17.100000000000001" customHeight="1">
      <c r="K932" s="131"/>
      <c r="L932" s="131"/>
      <c r="M932" s="154"/>
      <c r="O932" s="120"/>
      <c r="Q932" s="144"/>
      <c r="S932" s="144"/>
      <c r="T932" s="144"/>
    </row>
    <row r="933" spans="11:20" s="1" customFormat="1" ht="17.100000000000001" customHeight="1">
      <c r="K933" s="131"/>
      <c r="L933" s="131"/>
      <c r="M933" s="154"/>
      <c r="O933" s="120"/>
      <c r="Q933" s="144"/>
      <c r="S933" s="144"/>
      <c r="T933" s="144"/>
    </row>
    <row r="934" spans="11:20" s="1" customFormat="1" ht="17.100000000000001" customHeight="1">
      <c r="K934" s="131"/>
      <c r="L934" s="131"/>
      <c r="M934" s="154"/>
      <c r="O934" s="120"/>
      <c r="Q934" s="144"/>
      <c r="S934" s="144"/>
      <c r="T934" s="144"/>
    </row>
    <row r="935" spans="11:20" s="1" customFormat="1" ht="17.100000000000001" customHeight="1">
      <c r="K935" s="131"/>
      <c r="L935" s="131"/>
      <c r="M935" s="154"/>
      <c r="O935" s="120"/>
      <c r="Q935" s="144"/>
      <c r="S935" s="144"/>
      <c r="T935" s="144"/>
    </row>
    <row r="936" spans="11:20" s="1" customFormat="1" ht="17.100000000000001" customHeight="1">
      <c r="K936" s="131"/>
      <c r="L936" s="131"/>
      <c r="M936" s="154"/>
      <c r="O936" s="120"/>
      <c r="Q936" s="144"/>
      <c r="S936" s="144"/>
      <c r="T936" s="144"/>
    </row>
    <row r="937" spans="11:20" s="1" customFormat="1" ht="17.100000000000001" customHeight="1">
      <c r="K937" s="131"/>
      <c r="L937" s="131"/>
      <c r="M937" s="154"/>
      <c r="O937" s="120"/>
      <c r="Q937" s="144"/>
      <c r="S937" s="144"/>
      <c r="T937" s="144"/>
    </row>
    <row r="938" spans="11:20" s="1" customFormat="1" ht="17.100000000000001" customHeight="1">
      <c r="K938" s="131"/>
      <c r="L938" s="131"/>
      <c r="M938" s="154"/>
      <c r="O938" s="120"/>
      <c r="Q938" s="144"/>
      <c r="S938" s="144"/>
      <c r="T938" s="144"/>
    </row>
    <row r="939" spans="11:20" s="1" customFormat="1" ht="17.100000000000001" customHeight="1">
      <c r="K939" s="131"/>
      <c r="L939" s="131"/>
      <c r="M939" s="154"/>
      <c r="O939" s="120"/>
      <c r="Q939" s="144"/>
      <c r="S939" s="144"/>
      <c r="T939" s="144"/>
    </row>
    <row r="940" spans="11:20" s="1" customFormat="1" ht="17.100000000000001" customHeight="1">
      <c r="K940" s="131"/>
      <c r="L940" s="131"/>
      <c r="M940" s="154"/>
      <c r="O940" s="120"/>
      <c r="Q940" s="144"/>
      <c r="S940" s="144"/>
      <c r="T940" s="144"/>
    </row>
    <row r="941" spans="11:20" s="1" customFormat="1" ht="17.100000000000001" customHeight="1">
      <c r="K941" s="131"/>
      <c r="L941" s="131"/>
      <c r="M941" s="154"/>
      <c r="O941" s="120"/>
      <c r="Q941" s="144"/>
      <c r="S941" s="144"/>
      <c r="T941" s="144"/>
    </row>
    <row r="942" spans="11:20" s="1" customFormat="1" ht="17.100000000000001" customHeight="1">
      <c r="K942" s="131"/>
      <c r="L942" s="131"/>
      <c r="M942" s="154"/>
      <c r="O942" s="120"/>
      <c r="Q942" s="144"/>
      <c r="S942" s="144"/>
      <c r="T942" s="144"/>
    </row>
    <row r="943" spans="11:20" s="1" customFormat="1" ht="17.100000000000001" customHeight="1">
      <c r="K943" s="131"/>
      <c r="L943" s="131"/>
      <c r="M943" s="154"/>
      <c r="O943" s="120"/>
      <c r="Q943" s="144"/>
      <c r="S943" s="144"/>
      <c r="T943" s="144"/>
    </row>
    <row r="944" spans="11:20" s="1" customFormat="1" ht="17.100000000000001" customHeight="1">
      <c r="K944" s="131"/>
      <c r="L944" s="131"/>
      <c r="M944" s="154"/>
      <c r="O944" s="120"/>
      <c r="Q944" s="144"/>
      <c r="S944" s="144"/>
      <c r="T944" s="144"/>
    </row>
    <row r="945" spans="11:20" s="1" customFormat="1" ht="17.100000000000001" customHeight="1">
      <c r="K945" s="131"/>
      <c r="L945" s="131"/>
      <c r="M945" s="154"/>
      <c r="O945" s="120"/>
      <c r="Q945" s="144"/>
      <c r="S945" s="144"/>
      <c r="T945" s="144"/>
    </row>
    <row r="946" spans="11:20" s="1" customFormat="1" ht="17.100000000000001" customHeight="1">
      <c r="K946" s="131"/>
      <c r="L946" s="131"/>
      <c r="M946" s="154"/>
      <c r="O946" s="120"/>
      <c r="Q946" s="144"/>
      <c r="S946" s="144"/>
      <c r="T946" s="144"/>
    </row>
    <row r="947" spans="11:20" s="1" customFormat="1" ht="17.100000000000001" customHeight="1">
      <c r="K947" s="131"/>
      <c r="L947" s="131"/>
      <c r="M947" s="154"/>
      <c r="O947" s="120"/>
      <c r="Q947" s="144"/>
      <c r="S947" s="144"/>
      <c r="T947" s="144"/>
    </row>
    <row r="948" spans="11:20" s="1" customFormat="1" ht="17.100000000000001" customHeight="1">
      <c r="K948" s="131"/>
      <c r="L948" s="131"/>
      <c r="M948" s="154"/>
      <c r="O948" s="120"/>
      <c r="Q948" s="144"/>
      <c r="S948" s="144"/>
      <c r="T948" s="144"/>
    </row>
    <row r="949" spans="11:20" s="1" customFormat="1" ht="17.100000000000001" customHeight="1">
      <c r="K949" s="131"/>
      <c r="L949" s="131"/>
      <c r="M949" s="154"/>
      <c r="O949" s="120"/>
      <c r="Q949" s="144"/>
      <c r="S949" s="144"/>
      <c r="T949" s="144"/>
    </row>
    <row r="950" spans="11:20" s="1" customFormat="1" ht="17.100000000000001" customHeight="1">
      <c r="K950" s="131"/>
      <c r="L950" s="131"/>
      <c r="M950" s="154"/>
      <c r="O950" s="120"/>
      <c r="Q950" s="144"/>
      <c r="S950" s="144"/>
      <c r="T950" s="144"/>
    </row>
    <row r="951" spans="11:20" s="1" customFormat="1" ht="17.100000000000001" customHeight="1">
      <c r="K951" s="131"/>
      <c r="L951" s="131"/>
      <c r="M951" s="154"/>
      <c r="O951" s="120"/>
      <c r="Q951" s="144"/>
      <c r="S951" s="144"/>
      <c r="T951" s="144"/>
    </row>
    <row r="952" spans="11:20" s="1" customFormat="1" ht="17.100000000000001" customHeight="1">
      <c r="K952" s="131"/>
      <c r="L952" s="131"/>
      <c r="M952" s="154"/>
      <c r="O952" s="120"/>
      <c r="Q952" s="144"/>
      <c r="S952" s="144"/>
      <c r="T952" s="144"/>
    </row>
    <row r="953" spans="11:20" s="1" customFormat="1" ht="17.100000000000001" customHeight="1">
      <c r="K953" s="131"/>
      <c r="L953" s="131"/>
      <c r="M953" s="154"/>
      <c r="O953" s="120"/>
      <c r="Q953" s="144"/>
      <c r="S953" s="144"/>
      <c r="T953" s="144"/>
    </row>
    <row r="954" spans="11:20" s="1" customFormat="1" ht="17.100000000000001" customHeight="1">
      <c r="K954" s="131"/>
      <c r="L954" s="131"/>
      <c r="M954" s="154"/>
      <c r="O954" s="120"/>
      <c r="Q954" s="144"/>
      <c r="S954" s="144"/>
      <c r="T954" s="144"/>
    </row>
    <row r="955" spans="11:20" s="1" customFormat="1" ht="17.100000000000001" customHeight="1">
      <c r="K955" s="131"/>
      <c r="L955" s="131"/>
      <c r="M955" s="154"/>
      <c r="O955" s="120"/>
      <c r="Q955" s="144"/>
      <c r="S955" s="144"/>
      <c r="T955" s="144"/>
    </row>
    <row r="956" spans="11:20" s="1" customFormat="1" ht="17.100000000000001" customHeight="1">
      <c r="K956" s="131"/>
      <c r="L956" s="131"/>
      <c r="M956" s="154"/>
      <c r="O956" s="120"/>
      <c r="Q956" s="144"/>
      <c r="S956" s="144"/>
      <c r="T956" s="144"/>
    </row>
    <row r="957" spans="11:20" s="1" customFormat="1" ht="17.100000000000001" customHeight="1">
      <c r="K957" s="131"/>
      <c r="L957" s="131"/>
      <c r="M957" s="154"/>
      <c r="O957" s="120"/>
      <c r="Q957" s="144"/>
      <c r="S957" s="144"/>
      <c r="T957" s="144"/>
    </row>
    <row r="958" spans="11:20" s="1" customFormat="1" ht="17.100000000000001" customHeight="1">
      <c r="K958" s="131"/>
      <c r="L958" s="131"/>
      <c r="M958" s="154"/>
      <c r="O958" s="120"/>
      <c r="Q958" s="144"/>
      <c r="S958" s="144"/>
      <c r="T958" s="144"/>
    </row>
    <row r="959" spans="11:20" s="1" customFormat="1" ht="17.100000000000001" customHeight="1">
      <c r="K959" s="131"/>
      <c r="L959" s="131"/>
      <c r="M959" s="154"/>
      <c r="O959" s="120"/>
      <c r="Q959" s="144"/>
      <c r="S959" s="144"/>
      <c r="T959" s="144"/>
    </row>
    <row r="960" spans="11:20" s="1" customFormat="1" ht="17.100000000000001" customHeight="1">
      <c r="K960" s="131"/>
      <c r="L960" s="131"/>
      <c r="M960" s="154"/>
      <c r="O960" s="120"/>
      <c r="Q960" s="144"/>
      <c r="S960" s="144"/>
      <c r="T960" s="144"/>
    </row>
    <row r="961" spans="11:20" s="1" customFormat="1" ht="17.100000000000001" customHeight="1">
      <c r="K961" s="131"/>
      <c r="L961" s="131"/>
      <c r="M961" s="154"/>
      <c r="O961" s="120"/>
      <c r="Q961" s="144"/>
      <c r="S961" s="144"/>
      <c r="T961" s="144"/>
    </row>
    <row r="962" spans="11:20" s="1" customFormat="1" ht="17.100000000000001" customHeight="1">
      <c r="K962" s="131"/>
      <c r="L962" s="131"/>
      <c r="M962" s="154"/>
      <c r="O962" s="120"/>
      <c r="Q962" s="144"/>
      <c r="S962" s="144"/>
      <c r="T962" s="144"/>
    </row>
    <row r="963" spans="11:20" s="1" customFormat="1" ht="17.100000000000001" customHeight="1">
      <c r="K963" s="131"/>
      <c r="L963" s="131"/>
      <c r="M963" s="154"/>
      <c r="O963" s="120"/>
      <c r="Q963" s="144"/>
      <c r="S963" s="144"/>
      <c r="T963" s="144"/>
    </row>
    <row r="964" spans="11:20" s="1" customFormat="1" ht="17.100000000000001" customHeight="1">
      <c r="K964" s="131"/>
      <c r="L964" s="131"/>
      <c r="M964" s="154"/>
      <c r="O964" s="120"/>
      <c r="Q964" s="144"/>
      <c r="S964" s="144"/>
      <c r="T964" s="144"/>
    </row>
    <row r="965" spans="11:20" s="1" customFormat="1" ht="17.100000000000001" customHeight="1">
      <c r="K965" s="131"/>
      <c r="L965" s="131"/>
      <c r="M965" s="154"/>
      <c r="O965" s="120"/>
      <c r="Q965" s="144"/>
      <c r="S965" s="144"/>
      <c r="T965" s="144"/>
    </row>
    <row r="966" spans="11:20" s="1" customFormat="1" ht="17.100000000000001" customHeight="1">
      <c r="K966" s="131"/>
      <c r="L966" s="131"/>
      <c r="M966" s="154"/>
      <c r="O966" s="120"/>
      <c r="Q966" s="144"/>
      <c r="S966" s="144"/>
      <c r="T966" s="144"/>
    </row>
    <row r="967" spans="11:20" s="1" customFormat="1" ht="17.100000000000001" customHeight="1">
      <c r="K967" s="131"/>
      <c r="L967" s="131"/>
      <c r="M967" s="154"/>
      <c r="O967" s="120"/>
      <c r="Q967" s="144"/>
      <c r="S967" s="144"/>
      <c r="T967" s="144"/>
    </row>
    <row r="968" spans="11:20" s="1" customFormat="1" ht="17.100000000000001" customHeight="1">
      <c r="K968" s="131"/>
      <c r="L968" s="131"/>
      <c r="M968" s="154"/>
      <c r="O968" s="120"/>
      <c r="Q968" s="144"/>
      <c r="S968" s="144"/>
      <c r="T968" s="144"/>
    </row>
    <row r="969" spans="11:20" s="1" customFormat="1" ht="17.100000000000001" customHeight="1">
      <c r="K969" s="131"/>
      <c r="L969" s="131"/>
      <c r="M969" s="154"/>
      <c r="O969" s="120"/>
      <c r="Q969" s="144"/>
      <c r="S969" s="144"/>
      <c r="T969" s="144"/>
    </row>
    <row r="970" spans="11:20" s="1" customFormat="1" ht="17.100000000000001" customHeight="1">
      <c r="K970" s="131"/>
      <c r="L970" s="131"/>
      <c r="M970" s="154"/>
      <c r="O970" s="120"/>
      <c r="Q970" s="144"/>
      <c r="S970" s="144"/>
      <c r="T970" s="144"/>
    </row>
    <row r="971" spans="11:20" s="1" customFormat="1" ht="17.100000000000001" customHeight="1">
      <c r="K971" s="131"/>
      <c r="L971" s="131"/>
      <c r="M971" s="154"/>
      <c r="O971" s="120"/>
      <c r="Q971" s="144"/>
      <c r="S971" s="144"/>
      <c r="T971" s="144"/>
    </row>
    <row r="972" spans="11:20" s="1" customFormat="1" ht="17.100000000000001" customHeight="1">
      <c r="K972" s="131"/>
      <c r="L972" s="131"/>
      <c r="M972" s="154"/>
      <c r="O972" s="120"/>
      <c r="Q972" s="144"/>
      <c r="S972" s="144"/>
      <c r="T972" s="144"/>
    </row>
    <row r="973" spans="11:20" s="1" customFormat="1" ht="17.100000000000001" customHeight="1">
      <c r="K973" s="131"/>
      <c r="L973" s="131"/>
      <c r="M973" s="154"/>
      <c r="O973" s="120"/>
      <c r="Q973" s="144"/>
      <c r="S973" s="144"/>
      <c r="T973" s="144"/>
    </row>
    <row r="974" spans="11:20" s="1" customFormat="1" ht="17.100000000000001" customHeight="1">
      <c r="K974" s="131"/>
      <c r="L974" s="131"/>
      <c r="M974" s="154"/>
      <c r="O974" s="120"/>
      <c r="Q974" s="144"/>
      <c r="S974" s="144"/>
      <c r="T974" s="144"/>
    </row>
    <row r="975" spans="11:20" s="1" customFormat="1" ht="17.100000000000001" customHeight="1">
      <c r="K975" s="131"/>
      <c r="L975" s="131"/>
      <c r="M975" s="154"/>
      <c r="O975" s="120"/>
      <c r="Q975" s="144"/>
      <c r="S975" s="144"/>
      <c r="T975" s="144"/>
    </row>
    <row r="976" spans="11:20" s="1" customFormat="1" ht="17.100000000000001" customHeight="1">
      <c r="K976" s="131"/>
      <c r="L976" s="131"/>
      <c r="M976" s="154"/>
      <c r="O976" s="120"/>
      <c r="Q976" s="144"/>
      <c r="S976" s="144"/>
      <c r="T976" s="144"/>
    </row>
    <row r="977" spans="11:20" s="1" customFormat="1" ht="17.100000000000001" customHeight="1">
      <c r="K977" s="131"/>
      <c r="L977" s="131"/>
      <c r="M977" s="154"/>
      <c r="O977" s="120"/>
      <c r="Q977" s="144"/>
      <c r="S977" s="144"/>
      <c r="T977" s="144"/>
    </row>
    <row r="978" spans="11:20" s="1" customFormat="1" ht="17.100000000000001" customHeight="1">
      <c r="K978" s="131"/>
      <c r="L978" s="131"/>
      <c r="M978" s="154"/>
      <c r="O978" s="120"/>
      <c r="Q978" s="144"/>
      <c r="S978" s="144"/>
      <c r="T978" s="144"/>
    </row>
    <row r="979" spans="11:20" s="1" customFormat="1" ht="17.100000000000001" customHeight="1">
      <c r="K979" s="131"/>
      <c r="L979" s="131"/>
      <c r="M979" s="154"/>
      <c r="O979" s="120"/>
      <c r="Q979" s="144"/>
      <c r="S979" s="144"/>
      <c r="T979" s="144"/>
    </row>
    <row r="980" spans="11:20" s="1" customFormat="1" ht="17.100000000000001" customHeight="1">
      <c r="K980" s="131"/>
      <c r="L980" s="131"/>
      <c r="M980" s="154"/>
      <c r="O980" s="120"/>
      <c r="Q980" s="144"/>
      <c r="S980" s="144"/>
      <c r="T980" s="144"/>
    </row>
    <row r="981" spans="11:20" s="1" customFormat="1" ht="17.100000000000001" customHeight="1">
      <c r="K981" s="131"/>
      <c r="L981" s="131"/>
      <c r="M981" s="154"/>
      <c r="O981" s="120"/>
      <c r="Q981" s="144"/>
      <c r="S981" s="144"/>
      <c r="T981" s="144"/>
    </row>
    <row r="982" spans="11:20" s="1" customFormat="1" ht="17.100000000000001" customHeight="1">
      <c r="K982" s="131"/>
      <c r="L982" s="131"/>
      <c r="M982" s="154"/>
      <c r="O982" s="120"/>
      <c r="Q982" s="144"/>
      <c r="S982" s="144"/>
      <c r="T982" s="144"/>
    </row>
    <row r="983" spans="11:20" s="1" customFormat="1" ht="17.100000000000001" customHeight="1">
      <c r="K983" s="131"/>
      <c r="L983" s="131"/>
      <c r="M983" s="154"/>
      <c r="O983" s="120"/>
      <c r="Q983" s="144"/>
      <c r="S983" s="144"/>
      <c r="T983" s="144"/>
    </row>
    <row r="984" spans="11:20" s="1" customFormat="1" ht="17.100000000000001" customHeight="1">
      <c r="K984" s="131"/>
      <c r="L984" s="131"/>
      <c r="M984" s="154"/>
      <c r="O984" s="120"/>
      <c r="Q984" s="144"/>
      <c r="S984" s="144"/>
      <c r="T984" s="144"/>
    </row>
    <row r="985" spans="11:20" s="1" customFormat="1" ht="17.100000000000001" customHeight="1">
      <c r="K985" s="131"/>
      <c r="L985" s="131"/>
      <c r="M985" s="154"/>
      <c r="O985" s="120"/>
      <c r="Q985" s="144"/>
      <c r="S985" s="144"/>
      <c r="T985" s="144"/>
    </row>
    <row r="986" spans="11:20" s="1" customFormat="1" ht="17.100000000000001" customHeight="1">
      <c r="K986" s="131"/>
      <c r="L986" s="131"/>
      <c r="M986" s="154"/>
      <c r="O986" s="120"/>
      <c r="Q986" s="144"/>
      <c r="S986" s="144"/>
      <c r="T986" s="144"/>
    </row>
    <row r="987" spans="11:20" s="1" customFormat="1" ht="17.100000000000001" customHeight="1">
      <c r="K987" s="131"/>
      <c r="L987" s="131"/>
      <c r="M987" s="154"/>
      <c r="O987" s="120"/>
      <c r="Q987" s="144"/>
      <c r="S987" s="144"/>
      <c r="T987" s="144"/>
    </row>
    <row r="988" spans="11:20" s="1" customFormat="1" ht="17.100000000000001" customHeight="1">
      <c r="K988" s="131"/>
      <c r="L988" s="131"/>
      <c r="M988" s="154"/>
      <c r="O988" s="120"/>
      <c r="Q988" s="144"/>
      <c r="S988" s="144"/>
      <c r="T988" s="144"/>
    </row>
    <row r="989" spans="11:20" s="1" customFormat="1" ht="17.100000000000001" customHeight="1">
      <c r="K989" s="131"/>
      <c r="L989" s="131"/>
      <c r="M989" s="154"/>
      <c r="O989" s="120"/>
      <c r="Q989" s="144"/>
      <c r="S989" s="144"/>
      <c r="T989" s="144"/>
    </row>
    <row r="990" spans="11:20" s="1" customFormat="1" ht="17.100000000000001" customHeight="1">
      <c r="K990" s="131"/>
      <c r="L990" s="131"/>
      <c r="M990" s="154"/>
      <c r="O990" s="120"/>
      <c r="Q990" s="144"/>
      <c r="S990" s="144"/>
      <c r="T990" s="144"/>
    </row>
    <row r="991" spans="11:20" s="1" customFormat="1" ht="17.100000000000001" customHeight="1">
      <c r="K991" s="131"/>
      <c r="L991" s="131"/>
      <c r="M991" s="154"/>
      <c r="O991" s="120"/>
      <c r="Q991" s="144"/>
      <c r="S991" s="144"/>
      <c r="T991" s="144"/>
    </row>
    <row r="992" spans="11:20" s="1" customFormat="1" ht="17.100000000000001" customHeight="1">
      <c r="K992" s="131"/>
      <c r="L992" s="131"/>
      <c r="M992" s="154"/>
      <c r="O992" s="120"/>
      <c r="Q992" s="144"/>
      <c r="S992" s="144"/>
      <c r="T992" s="144"/>
    </row>
    <row r="993" spans="11:20" s="1" customFormat="1" ht="17.100000000000001" customHeight="1">
      <c r="K993" s="131"/>
      <c r="L993" s="131"/>
      <c r="M993" s="154"/>
      <c r="O993" s="120"/>
      <c r="Q993" s="144"/>
      <c r="S993" s="144"/>
      <c r="T993" s="144"/>
    </row>
    <row r="994" spans="11:20" s="1" customFormat="1" ht="17.100000000000001" customHeight="1">
      <c r="K994" s="131"/>
      <c r="L994" s="131"/>
      <c r="M994" s="154"/>
      <c r="O994" s="120"/>
      <c r="Q994" s="144"/>
      <c r="S994" s="144"/>
      <c r="T994" s="144"/>
    </row>
    <row r="995" spans="11:20" s="1" customFormat="1" ht="17.100000000000001" customHeight="1">
      <c r="K995" s="131"/>
      <c r="L995" s="131"/>
      <c r="M995" s="154"/>
      <c r="O995" s="120"/>
      <c r="Q995" s="144"/>
      <c r="S995" s="144"/>
      <c r="T995" s="144"/>
    </row>
    <row r="996" spans="11:20" s="1" customFormat="1" ht="17.100000000000001" customHeight="1">
      <c r="K996" s="131"/>
      <c r="L996" s="131"/>
      <c r="M996" s="154"/>
      <c r="O996" s="120"/>
      <c r="Q996" s="144"/>
      <c r="S996" s="144"/>
      <c r="T996" s="144"/>
    </row>
    <row r="997" spans="11:20" s="1" customFormat="1" ht="17.100000000000001" customHeight="1">
      <c r="K997" s="131"/>
      <c r="L997" s="131"/>
      <c r="M997" s="154"/>
      <c r="O997" s="120"/>
      <c r="Q997" s="144"/>
      <c r="S997" s="144"/>
      <c r="T997" s="144"/>
    </row>
    <row r="998" spans="11:20" s="1" customFormat="1" ht="17.100000000000001" customHeight="1">
      <c r="K998" s="131"/>
      <c r="L998" s="131"/>
      <c r="M998" s="154"/>
      <c r="O998" s="120"/>
      <c r="Q998" s="144"/>
      <c r="S998" s="144"/>
      <c r="T998" s="144"/>
    </row>
    <row r="999" spans="11:20" s="1" customFormat="1" ht="17.100000000000001" customHeight="1">
      <c r="K999" s="131"/>
      <c r="L999" s="131"/>
      <c r="M999" s="154"/>
      <c r="O999" s="120"/>
      <c r="Q999" s="144"/>
      <c r="S999" s="144"/>
      <c r="T999" s="144"/>
    </row>
    <row r="1000" spans="11:20" s="1" customFormat="1" ht="17.100000000000001" customHeight="1">
      <c r="K1000" s="131"/>
      <c r="L1000" s="131"/>
      <c r="M1000" s="154"/>
      <c r="O1000" s="120"/>
      <c r="Q1000" s="144"/>
      <c r="S1000" s="144"/>
      <c r="T1000" s="144"/>
    </row>
    <row r="1001" spans="11:20" s="1" customFormat="1" ht="17.100000000000001" customHeight="1">
      <c r="K1001" s="131"/>
      <c r="L1001" s="131"/>
      <c r="M1001" s="154"/>
      <c r="O1001" s="120"/>
      <c r="Q1001" s="144"/>
      <c r="S1001" s="144"/>
      <c r="T1001" s="144"/>
    </row>
    <row r="1002" spans="11:20" s="1" customFormat="1" ht="17.100000000000001" customHeight="1">
      <c r="K1002" s="131"/>
      <c r="L1002" s="131"/>
      <c r="M1002" s="154"/>
      <c r="O1002" s="120"/>
      <c r="Q1002" s="144"/>
      <c r="S1002" s="144"/>
      <c r="T1002" s="144"/>
    </row>
    <row r="1003" spans="11:20" s="1" customFormat="1" ht="17.100000000000001" customHeight="1">
      <c r="K1003" s="131"/>
      <c r="L1003" s="131"/>
      <c r="M1003" s="154"/>
      <c r="O1003" s="120"/>
      <c r="Q1003" s="144"/>
      <c r="S1003" s="144"/>
      <c r="T1003" s="144"/>
    </row>
    <row r="1004" spans="11:20" s="1" customFormat="1" ht="17.100000000000001" customHeight="1">
      <c r="K1004" s="131"/>
      <c r="L1004" s="131"/>
      <c r="M1004" s="154"/>
      <c r="O1004" s="120"/>
      <c r="Q1004" s="144"/>
      <c r="S1004" s="144"/>
      <c r="T1004" s="144"/>
    </row>
    <row r="1005" spans="11:20" s="1" customFormat="1" ht="17.100000000000001" customHeight="1">
      <c r="K1005" s="131"/>
      <c r="L1005" s="131"/>
      <c r="M1005" s="154"/>
      <c r="O1005" s="120"/>
      <c r="Q1005" s="144"/>
      <c r="S1005" s="144"/>
      <c r="T1005" s="144"/>
    </row>
    <row r="1006" spans="11:20" s="1" customFormat="1" ht="17.100000000000001" customHeight="1">
      <c r="K1006" s="131"/>
      <c r="L1006" s="131"/>
      <c r="M1006" s="154"/>
      <c r="O1006" s="120"/>
      <c r="Q1006" s="144"/>
      <c r="S1006" s="144"/>
      <c r="T1006" s="144"/>
    </row>
    <row r="1007" spans="11:20" s="1" customFormat="1" ht="17.100000000000001" customHeight="1">
      <c r="K1007" s="131"/>
      <c r="L1007" s="131"/>
      <c r="M1007" s="154"/>
      <c r="O1007" s="120"/>
      <c r="Q1007" s="144"/>
      <c r="S1007" s="144"/>
      <c r="T1007" s="144"/>
    </row>
    <row r="1008" spans="11:20" s="1" customFormat="1" ht="17.100000000000001" customHeight="1">
      <c r="K1008" s="131"/>
      <c r="L1008" s="131"/>
      <c r="M1008" s="154"/>
      <c r="O1008" s="120"/>
      <c r="Q1008" s="144"/>
      <c r="S1008" s="144"/>
      <c r="T1008" s="144"/>
    </row>
    <row r="1009" spans="11:20" s="1" customFormat="1" ht="17.100000000000001" customHeight="1">
      <c r="K1009" s="131"/>
      <c r="L1009" s="131"/>
      <c r="M1009" s="154"/>
      <c r="O1009" s="120"/>
      <c r="Q1009" s="144"/>
      <c r="S1009" s="144"/>
      <c r="T1009" s="144"/>
    </row>
    <row r="1010" spans="11:20" s="1" customFormat="1" ht="17.100000000000001" customHeight="1">
      <c r="K1010" s="131"/>
      <c r="L1010" s="131"/>
      <c r="M1010" s="154"/>
      <c r="O1010" s="120"/>
      <c r="Q1010" s="144"/>
      <c r="S1010" s="144"/>
      <c r="T1010" s="144"/>
    </row>
    <row r="1011" spans="11:20" s="1" customFormat="1" ht="17.100000000000001" customHeight="1">
      <c r="K1011" s="131"/>
      <c r="L1011" s="131"/>
      <c r="M1011" s="154"/>
      <c r="O1011" s="120"/>
      <c r="Q1011" s="144"/>
      <c r="S1011" s="144"/>
      <c r="T1011" s="144"/>
    </row>
    <row r="1012" spans="11:20" s="1" customFormat="1" ht="17.100000000000001" customHeight="1">
      <c r="K1012" s="131"/>
      <c r="L1012" s="131"/>
      <c r="M1012" s="154"/>
      <c r="O1012" s="120"/>
      <c r="Q1012" s="144"/>
      <c r="S1012" s="144"/>
      <c r="T1012" s="144"/>
    </row>
    <row r="1013" spans="11:20" s="1" customFormat="1" ht="17.100000000000001" customHeight="1">
      <c r="K1013" s="131"/>
      <c r="L1013" s="131"/>
      <c r="M1013" s="154"/>
      <c r="O1013" s="120"/>
      <c r="Q1013" s="144"/>
      <c r="S1013" s="144"/>
      <c r="T1013" s="144"/>
    </row>
    <row r="1014" spans="11:20" s="1" customFormat="1" ht="17.100000000000001" customHeight="1">
      <c r="K1014" s="131"/>
      <c r="L1014" s="131"/>
      <c r="M1014" s="154"/>
      <c r="O1014" s="120"/>
      <c r="Q1014" s="144"/>
      <c r="S1014" s="144"/>
      <c r="T1014" s="144"/>
    </row>
    <row r="1015" spans="11:20" s="1" customFormat="1" ht="17.100000000000001" customHeight="1">
      <c r="K1015" s="131"/>
      <c r="L1015" s="131"/>
      <c r="M1015" s="154"/>
      <c r="O1015" s="120"/>
      <c r="Q1015" s="144"/>
      <c r="S1015" s="144"/>
      <c r="T1015" s="144"/>
    </row>
    <row r="1016" spans="11:20" s="1" customFormat="1" ht="17.100000000000001" customHeight="1">
      <c r="K1016" s="131"/>
      <c r="L1016" s="131"/>
      <c r="M1016" s="154"/>
      <c r="O1016" s="120"/>
      <c r="Q1016" s="144"/>
      <c r="S1016" s="144"/>
      <c r="T1016" s="144"/>
    </row>
    <row r="1017" spans="11:20" s="1" customFormat="1" ht="17.100000000000001" customHeight="1">
      <c r="K1017" s="131"/>
      <c r="L1017" s="131"/>
      <c r="M1017" s="154"/>
      <c r="O1017" s="120"/>
      <c r="Q1017" s="144"/>
      <c r="S1017" s="144"/>
      <c r="T1017" s="144"/>
    </row>
    <row r="1018" spans="11:20" s="1" customFormat="1" ht="17.100000000000001" customHeight="1">
      <c r="K1018" s="131"/>
      <c r="L1018" s="131"/>
      <c r="M1018" s="154"/>
      <c r="O1018" s="120"/>
      <c r="Q1018" s="144"/>
      <c r="S1018" s="144"/>
      <c r="T1018" s="144"/>
    </row>
    <row r="1019" spans="11:20" s="1" customFormat="1" ht="17.100000000000001" customHeight="1">
      <c r="K1019" s="131"/>
      <c r="L1019" s="131"/>
      <c r="M1019" s="154"/>
      <c r="O1019" s="120"/>
      <c r="Q1019" s="144"/>
      <c r="S1019" s="144"/>
      <c r="T1019" s="144"/>
    </row>
    <row r="1020" spans="11:20" s="1" customFormat="1" ht="17.100000000000001" customHeight="1">
      <c r="K1020" s="131"/>
      <c r="L1020" s="131"/>
      <c r="M1020" s="154"/>
      <c r="O1020" s="120"/>
      <c r="Q1020" s="144"/>
      <c r="S1020" s="144"/>
      <c r="T1020" s="144"/>
    </row>
    <row r="1021" spans="11:20" s="1" customFormat="1" ht="17.100000000000001" customHeight="1">
      <c r="K1021" s="131"/>
      <c r="L1021" s="131"/>
      <c r="M1021" s="154"/>
      <c r="O1021" s="120"/>
      <c r="Q1021" s="144"/>
      <c r="S1021" s="144"/>
      <c r="T1021" s="144"/>
    </row>
    <row r="1022" spans="11:20" s="1" customFormat="1" ht="17.100000000000001" customHeight="1">
      <c r="K1022" s="131"/>
      <c r="L1022" s="131"/>
      <c r="M1022" s="154"/>
      <c r="O1022" s="120"/>
      <c r="Q1022" s="144"/>
      <c r="S1022" s="144"/>
      <c r="T1022" s="144"/>
    </row>
    <row r="1023" spans="11:20" s="1" customFormat="1" ht="17.100000000000001" customHeight="1">
      <c r="K1023" s="131"/>
      <c r="L1023" s="131"/>
      <c r="M1023" s="154"/>
      <c r="O1023" s="120"/>
      <c r="Q1023" s="144"/>
      <c r="S1023" s="144"/>
      <c r="T1023" s="144"/>
    </row>
    <row r="1024" spans="11:20" s="1" customFormat="1" ht="17.100000000000001" customHeight="1">
      <c r="K1024" s="131"/>
      <c r="L1024" s="131"/>
      <c r="M1024" s="154"/>
      <c r="O1024" s="120"/>
      <c r="Q1024" s="144"/>
      <c r="S1024" s="144"/>
      <c r="T1024" s="144"/>
    </row>
    <row r="1025" spans="11:20" s="1" customFormat="1" ht="17.100000000000001" customHeight="1">
      <c r="K1025" s="131"/>
      <c r="L1025" s="131"/>
      <c r="M1025" s="154"/>
      <c r="O1025" s="120"/>
      <c r="Q1025" s="144"/>
      <c r="S1025" s="144"/>
      <c r="T1025" s="144"/>
    </row>
    <row r="1026" spans="11:20" s="1" customFormat="1" ht="17.100000000000001" customHeight="1">
      <c r="K1026" s="131"/>
      <c r="L1026" s="131"/>
      <c r="M1026" s="154"/>
      <c r="O1026" s="120"/>
      <c r="Q1026" s="144"/>
      <c r="S1026" s="144"/>
      <c r="T1026" s="144"/>
    </row>
    <row r="1027" spans="11:20" s="1" customFormat="1" ht="17.100000000000001" customHeight="1">
      <c r="K1027" s="131"/>
      <c r="L1027" s="131"/>
      <c r="M1027" s="154"/>
      <c r="O1027" s="120"/>
      <c r="Q1027" s="144"/>
      <c r="S1027" s="144"/>
      <c r="T1027" s="144"/>
    </row>
    <row r="1028" spans="11:20" s="1" customFormat="1" ht="17.100000000000001" customHeight="1">
      <c r="K1028" s="131"/>
      <c r="L1028" s="131"/>
      <c r="M1028" s="154"/>
      <c r="O1028" s="120"/>
      <c r="Q1028" s="144"/>
      <c r="S1028" s="144"/>
      <c r="T1028" s="144"/>
    </row>
    <row r="1029" spans="11:20" s="1" customFormat="1" ht="17.100000000000001" customHeight="1">
      <c r="K1029" s="131"/>
      <c r="L1029" s="131"/>
      <c r="M1029" s="154"/>
      <c r="O1029" s="120"/>
      <c r="Q1029" s="144"/>
      <c r="S1029" s="144"/>
      <c r="T1029" s="144"/>
    </row>
    <row r="1030" spans="11:20" s="1" customFormat="1" ht="17.100000000000001" customHeight="1">
      <c r="K1030" s="131"/>
      <c r="L1030" s="131"/>
      <c r="M1030" s="154"/>
      <c r="O1030" s="120"/>
      <c r="Q1030" s="144"/>
      <c r="S1030" s="144"/>
      <c r="T1030" s="144"/>
    </row>
    <row r="1031" spans="11:20" s="1" customFormat="1" ht="17.100000000000001" customHeight="1">
      <c r="K1031" s="131"/>
      <c r="L1031" s="131"/>
      <c r="M1031" s="154"/>
      <c r="O1031" s="120"/>
      <c r="Q1031" s="144"/>
      <c r="S1031" s="144"/>
      <c r="T1031" s="144"/>
    </row>
    <row r="1032" spans="11:20" s="1" customFormat="1" ht="17.100000000000001" customHeight="1">
      <c r="K1032" s="131"/>
      <c r="L1032" s="131"/>
      <c r="M1032" s="154"/>
      <c r="O1032" s="120"/>
      <c r="Q1032" s="144"/>
      <c r="S1032" s="144"/>
      <c r="T1032" s="144"/>
    </row>
    <row r="1033" spans="11:20" s="1" customFormat="1" ht="17.100000000000001" customHeight="1">
      <c r="K1033" s="131"/>
      <c r="L1033" s="131"/>
      <c r="M1033" s="154"/>
      <c r="O1033" s="120"/>
      <c r="Q1033" s="144"/>
      <c r="S1033" s="144"/>
      <c r="T1033" s="144"/>
    </row>
    <row r="1034" spans="11:20" s="1" customFormat="1" ht="17.100000000000001" customHeight="1">
      <c r="K1034" s="131"/>
      <c r="L1034" s="131"/>
      <c r="M1034" s="154"/>
      <c r="O1034" s="120"/>
      <c r="Q1034" s="144"/>
      <c r="S1034" s="144"/>
      <c r="T1034" s="144"/>
    </row>
    <row r="1035" spans="11:20" s="1" customFormat="1" ht="17.100000000000001" customHeight="1">
      <c r="K1035" s="131"/>
      <c r="L1035" s="131"/>
      <c r="M1035" s="154"/>
      <c r="O1035" s="120"/>
      <c r="Q1035" s="144"/>
      <c r="S1035" s="144"/>
      <c r="T1035" s="144"/>
    </row>
    <row r="1036" spans="11:20" s="1" customFormat="1" ht="17.100000000000001" customHeight="1">
      <c r="K1036" s="131"/>
      <c r="L1036" s="131"/>
      <c r="M1036" s="154"/>
      <c r="O1036" s="120"/>
      <c r="Q1036" s="144"/>
      <c r="S1036" s="144"/>
      <c r="T1036" s="144"/>
    </row>
    <row r="1037" spans="11:20" s="1" customFormat="1" ht="17.100000000000001" customHeight="1">
      <c r="K1037" s="131"/>
      <c r="L1037" s="131"/>
      <c r="M1037" s="154"/>
      <c r="O1037" s="120"/>
      <c r="Q1037" s="144"/>
      <c r="S1037" s="144"/>
      <c r="T1037" s="144"/>
    </row>
    <row r="1038" spans="11:20" s="1" customFormat="1" ht="17.100000000000001" customHeight="1">
      <c r="K1038" s="131"/>
      <c r="L1038" s="131"/>
      <c r="M1038" s="154"/>
      <c r="O1038" s="120"/>
      <c r="Q1038" s="144"/>
      <c r="S1038" s="144"/>
      <c r="T1038" s="144"/>
    </row>
    <row r="1039" spans="11:20" s="1" customFormat="1" ht="17.100000000000001" customHeight="1">
      <c r="K1039" s="131"/>
      <c r="L1039" s="131"/>
      <c r="M1039" s="154"/>
      <c r="O1039" s="120"/>
      <c r="Q1039" s="144"/>
      <c r="S1039" s="144"/>
      <c r="T1039" s="144"/>
    </row>
    <row r="1040" spans="11:20" s="1" customFormat="1" ht="17.100000000000001" customHeight="1">
      <c r="K1040" s="131"/>
      <c r="L1040" s="131"/>
      <c r="M1040" s="154"/>
      <c r="O1040" s="120"/>
      <c r="Q1040" s="144"/>
      <c r="S1040" s="144"/>
      <c r="T1040" s="144"/>
    </row>
    <row r="1041" spans="11:20" s="1" customFormat="1" ht="17.100000000000001" customHeight="1">
      <c r="K1041" s="131"/>
      <c r="L1041" s="131"/>
      <c r="M1041" s="154"/>
      <c r="O1041" s="120"/>
      <c r="Q1041" s="144"/>
      <c r="S1041" s="144"/>
      <c r="T1041" s="144"/>
    </row>
    <row r="1042" spans="11:20" s="1" customFormat="1" ht="17.100000000000001" customHeight="1">
      <c r="K1042" s="131"/>
      <c r="L1042" s="131"/>
      <c r="M1042" s="154"/>
      <c r="O1042" s="120"/>
      <c r="Q1042" s="144"/>
      <c r="S1042" s="144"/>
      <c r="T1042" s="144"/>
    </row>
    <row r="1043" spans="11:20" s="1" customFormat="1" ht="17.100000000000001" customHeight="1">
      <c r="K1043" s="131"/>
      <c r="L1043" s="131"/>
      <c r="M1043" s="154"/>
      <c r="O1043" s="120"/>
      <c r="Q1043" s="144"/>
      <c r="S1043" s="144"/>
      <c r="T1043" s="144"/>
    </row>
    <row r="1044" spans="11:20" s="1" customFormat="1" ht="17.100000000000001" customHeight="1">
      <c r="K1044" s="131"/>
      <c r="L1044" s="131"/>
      <c r="M1044" s="154"/>
      <c r="O1044" s="120"/>
      <c r="Q1044" s="144"/>
      <c r="S1044" s="144"/>
      <c r="T1044" s="144"/>
    </row>
    <row r="1045" spans="11:20" s="1" customFormat="1" ht="17.100000000000001" customHeight="1">
      <c r="K1045" s="131"/>
      <c r="L1045" s="131"/>
      <c r="M1045" s="154"/>
      <c r="O1045" s="120"/>
      <c r="Q1045" s="144"/>
      <c r="S1045" s="144"/>
      <c r="T1045" s="144"/>
    </row>
    <row r="1046" spans="11:20" s="1" customFormat="1" ht="17.100000000000001" customHeight="1">
      <c r="K1046" s="131"/>
      <c r="L1046" s="131"/>
      <c r="M1046" s="154"/>
      <c r="O1046" s="120"/>
      <c r="Q1046" s="144"/>
      <c r="S1046" s="144"/>
      <c r="T1046" s="144"/>
    </row>
    <row r="1047" spans="11:20" s="1" customFormat="1" ht="17.100000000000001" customHeight="1">
      <c r="K1047" s="131"/>
      <c r="L1047" s="131"/>
      <c r="M1047" s="154"/>
      <c r="O1047" s="120"/>
      <c r="Q1047" s="144"/>
      <c r="S1047" s="144"/>
      <c r="T1047" s="144"/>
    </row>
    <row r="1048" spans="11:20" s="1" customFormat="1" ht="17.100000000000001" customHeight="1">
      <c r="K1048" s="131"/>
      <c r="L1048" s="131"/>
      <c r="M1048" s="154"/>
      <c r="O1048" s="120"/>
      <c r="Q1048" s="144"/>
      <c r="S1048" s="144"/>
      <c r="T1048" s="144"/>
    </row>
    <row r="1049" spans="11:20" s="1" customFormat="1" ht="17.100000000000001" customHeight="1">
      <c r="K1049" s="131"/>
      <c r="L1049" s="131"/>
      <c r="M1049" s="154"/>
      <c r="O1049" s="120"/>
      <c r="Q1049" s="144"/>
      <c r="S1049" s="144"/>
      <c r="T1049" s="144"/>
    </row>
    <row r="1050" spans="11:20" s="1" customFormat="1" ht="17.100000000000001" customHeight="1">
      <c r="K1050" s="131"/>
      <c r="L1050" s="131"/>
      <c r="M1050" s="154"/>
      <c r="O1050" s="120"/>
      <c r="Q1050" s="144"/>
      <c r="S1050" s="144"/>
      <c r="T1050" s="144"/>
    </row>
    <row r="1051" spans="11:20" s="1" customFormat="1" ht="17.100000000000001" customHeight="1">
      <c r="K1051" s="131"/>
      <c r="L1051" s="131"/>
      <c r="M1051" s="154"/>
      <c r="O1051" s="120"/>
      <c r="Q1051" s="144"/>
      <c r="S1051" s="144"/>
      <c r="T1051" s="144"/>
    </row>
    <row r="1052" spans="11:20" s="1" customFormat="1" ht="17.100000000000001" customHeight="1">
      <c r="K1052" s="131"/>
      <c r="L1052" s="131"/>
      <c r="M1052" s="154"/>
      <c r="O1052" s="120"/>
      <c r="Q1052" s="144"/>
      <c r="S1052" s="144"/>
      <c r="T1052" s="144"/>
    </row>
    <row r="1053" spans="11:20" s="1" customFormat="1" ht="17.100000000000001" customHeight="1">
      <c r="K1053" s="131"/>
      <c r="L1053" s="131"/>
      <c r="M1053" s="154"/>
      <c r="O1053" s="120"/>
      <c r="Q1053" s="144"/>
      <c r="S1053" s="144"/>
      <c r="T1053" s="144"/>
    </row>
    <row r="1054" spans="11:20" s="1" customFormat="1" ht="17.100000000000001" customHeight="1">
      <c r="K1054" s="131"/>
      <c r="L1054" s="131"/>
      <c r="M1054" s="154"/>
      <c r="O1054" s="120"/>
      <c r="Q1054" s="144"/>
      <c r="S1054" s="144"/>
      <c r="T1054" s="144"/>
    </row>
    <row r="1055" spans="11:20" s="1" customFormat="1" ht="17.100000000000001" customHeight="1">
      <c r="K1055" s="131"/>
      <c r="L1055" s="131"/>
      <c r="M1055" s="154"/>
      <c r="O1055" s="120"/>
      <c r="Q1055" s="144"/>
      <c r="S1055" s="144"/>
      <c r="T1055" s="144"/>
    </row>
    <row r="1056" spans="11:20" s="1" customFormat="1" ht="17.100000000000001" customHeight="1">
      <c r="K1056" s="131"/>
      <c r="L1056" s="131"/>
      <c r="M1056" s="154"/>
      <c r="O1056" s="120"/>
      <c r="Q1056" s="144"/>
      <c r="S1056" s="144"/>
      <c r="T1056" s="144"/>
    </row>
    <row r="1057" spans="11:20" s="1" customFormat="1" ht="17.100000000000001" customHeight="1">
      <c r="K1057" s="131"/>
      <c r="L1057" s="131"/>
      <c r="M1057" s="154"/>
      <c r="O1057" s="120"/>
      <c r="Q1057" s="144"/>
      <c r="S1057" s="144"/>
      <c r="T1057" s="144"/>
    </row>
    <row r="1058" spans="11:20" s="1" customFormat="1" ht="17.100000000000001" customHeight="1">
      <c r="K1058" s="131"/>
      <c r="L1058" s="131"/>
      <c r="M1058" s="154"/>
      <c r="O1058" s="120"/>
      <c r="Q1058" s="144"/>
      <c r="S1058" s="144"/>
      <c r="T1058" s="144"/>
    </row>
    <row r="1059" spans="11:20" s="1" customFormat="1" ht="17.100000000000001" customHeight="1">
      <c r="K1059" s="131"/>
      <c r="L1059" s="131"/>
      <c r="M1059" s="154"/>
      <c r="O1059" s="120"/>
      <c r="Q1059" s="144"/>
      <c r="S1059" s="144"/>
      <c r="T1059" s="144"/>
    </row>
    <row r="1060" spans="11:20" s="1" customFormat="1" ht="17.100000000000001" customHeight="1">
      <c r="K1060" s="131"/>
      <c r="L1060" s="131"/>
      <c r="M1060" s="154"/>
      <c r="O1060" s="120"/>
      <c r="Q1060" s="144"/>
      <c r="S1060" s="144"/>
      <c r="T1060" s="144"/>
    </row>
    <row r="1061" spans="11:20" s="1" customFormat="1" ht="17.100000000000001" customHeight="1">
      <c r="K1061" s="131"/>
      <c r="L1061" s="131"/>
      <c r="M1061" s="154"/>
      <c r="O1061" s="120"/>
      <c r="Q1061" s="144"/>
      <c r="S1061" s="144"/>
      <c r="T1061" s="144"/>
    </row>
    <row r="1062" spans="11:20" s="1" customFormat="1" ht="17.100000000000001" customHeight="1">
      <c r="K1062" s="131"/>
      <c r="L1062" s="131"/>
      <c r="M1062" s="154"/>
      <c r="O1062" s="120"/>
      <c r="Q1062" s="144"/>
      <c r="S1062" s="144"/>
      <c r="T1062" s="144"/>
    </row>
    <row r="1063" spans="11:20" s="1" customFormat="1" ht="17.100000000000001" customHeight="1">
      <c r="K1063" s="131"/>
      <c r="L1063" s="131"/>
      <c r="M1063" s="154"/>
      <c r="O1063" s="120"/>
      <c r="Q1063" s="144"/>
      <c r="S1063" s="144"/>
      <c r="T1063" s="144"/>
    </row>
  </sheetData>
  <sheetProtection formatCells="0" insertHyperlinks="0" autoFilter="0"/>
  <protectedRanges>
    <protectedRange sqref="D8:D36 P10:P23 O8:O36 G8:M19 G22:M36 H20:M21" name="区域1"/>
  </protectedRanges>
  <mergeCells count="2">
    <mergeCell ref="A9:A10"/>
    <mergeCell ref="A11:A12"/>
  </mergeCells>
  <phoneticPr fontId="29" type="noConversion"/>
  <conditionalFormatting sqref="L9:L1048576">
    <cfRule type="expression" dxfId="5" priority="6">
      <formula>MOD(ROW(),2)=0</formula>
    </cfRule>
  </conditionalFormatting>
  <conditionalFormatting sqref="D9:E1048576 I9:I1048576 M9:M1048576 K9:K1048576 G9:G1048576">
    <cfRule type="expression" dxfId="4" priority="9">
      <formula>MOD(ROW(),2)=0</formula>
    </cfRule>
  </conditionalFormatting>
  <conditionalFormatting sqref="O9:O1048576">
    <cfRule type="expression" dxfId="3" priority="4">
      <formula>MOD(ROW(),2)=0</formula>
    </cfRule>
  </conditionalFormatting>
  <conditionalFormatting sqref="Q9:Q1048576">
    <cfRule type="expression" dxfId="2" priority="3">
      <formula>MOD(ROW(),2)=0</formula>
    </cfRule>
  </conditionalFormatting>
  <conditionalFormatting sqref="S9:S1048576">
    <cfRule type="expression" dxfId="1" priority="2">
      <formula>MOD(ROW(),2)=0</formula>
    </cfRule>
  </conditionalFormatting>
  <conditionalFormatting sqref="T9:T1048576">
    <cfRule type="expression" dxfId="0" priority="1">
      <formula>MOD(ROW(),2)=0</formula>
    </cfRule>
  </conditionalFormatting>
  <pageMargins left="0.75" right="0.75" top="1" bottom="1" header="0.51180555555555596" footer="0.51180555555555596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ixelators xmlns="https://web.wps.cn/et/2018/main" xmlns:s="http://schemas.openxmlformats.org/spreadsheetml/2006/main">
  <pixelatorList sheetStid="8"/>
  <pixelatorList sheetStid="4"/>
  <pixelatorList sheetStid="5"/>
  <pixelatorList sheetStid="16"/>
  <pixelatorList sheetStid="18"/>
  <pixelatorList sheetStid="12"/>
  <pixelatorList sheetStid="17"/>
  <pixelatorList sheetStid="13"/>
  <pixelatorList sheetStid="7"/>
  <pixelatorList sheetStid="19"/>
</pixelators>
</file>

<file path=customXml/item2.xml><?xml version="1.0" encoding="utf-8"?>
<comments xmlns="https://web.wps.cn/et/2018/main" xmlns:s="http://schemas.openxmlformats.org/spreadsheetml/2006/main"/>
</file>

<file path=customXml/item3.xml><?xml version="1.0" encoding="utf-8"?>
<woProps xmlns="https://web.wps.cn/et/2018/main" xmlns:s="http://schemas.openxmlformats.org/spreadsheetml/2006/main">
  <woSheetsProps>
    <woSheetProps sheetStid="8" interlineOnOff="0" interlineColor="0" isDbSheet="0"/>
    <woSheetProps sheetStid="4" interlineOnOff="0" interlineColor="0" isDbSheet="0"/>
    <woSheetProps sheetStid="5" interlineOnOff="0" interlineColor="0" isDbSheet="0"/>
    <woSheetProps sheetStid="16" interlineOnOff="0" interlineColor="0" isDbSheet="0"/>
    <woSheetProps sheetStid="18" interlineOnOff="0" interlineColor="0" isDbSheet="0"/>
    <woSheetProps sheetStid="12" interlineOnOff="0" interlineColor="0" isDbSheet="0"/>
    <woSheetProps sheetStid="17" interlineOnOff="0" interlineColor="0" isDbSheet="0"/>
    <woSheetProps sheetStid="13" interlineOnOff="0" interlineColor="0" isDbSheet="0"/>
    <woSheetProps sheetStid="7" interlineOnOff="0" interlineColor="0" isDbSheet="0"/>
  </woSheetsProps>
  <woBookProps>
    <bookSettings isFilterShared="1" isAutoUpdatePaused="0" filterType="conn"/>
  </woBookProps>
</woProps>
</file>

<file path=customXml/item4.xml><?xml version="1.0" encoding="utf-8"?>
<allowEditUser xmlns="https://web.wps.cn/et/2018/main" xmlns:s="http://schemas.openxmlformats.org/spreadsheetml/2006/main" hasInvisiblePropRange="0">
  <rangeList sheetStid="8" master=""/>
  <rangeList sheetStid="4" master="">
    <arrUserId title="区域1" rangeCreator="" othersAccessPermission="edit"/>
  </rangeList>
  <rangeList sheetStid="5" master="">
    <arrUserId title="区域1" rangeCreator="" othersAccessPermission="edit"/>
  </rangeList>
  <rangeList sheetStid="16" master=""/>
  <rangeList sheetStid="18" master="">
    <arrUserId title="区域1" rangeCreator="" othersAccessPermission="edit"/>
  </rangeList>
  <rangeList sheetStid="12" master="">
    <arrUserId title="区域1" rangeCreator="" othersAccessPermission="edit"/>
  </rangeList>
  <rangeList sheetStid="17" master="">
    <arrUserId title="区域1" rangeCreator="" othersAccessPermission="edit"/>
  </rangeList>
  <rangeList sheetStid="13" master="">
    <arrUserId title="区域1" rangeCreator="" othersAccessPermission="edit"/>
  </rangeList>
  <rangeList sheetStid="7" master="">
    <arrUserId title="区域1" rangeCreator="" othersAccessPermission="edit"/>
    <arrUserId title="区域1_1" rangeCreator="" othersAccessPermission="edit"/>
    <arrUserId title="区域1_2" rangeCreator="" othersAccessPermission="edit"/>
  </rangeList>
</allowEditUser>
</file>

<file path=customXml/itemProps1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10</vt:i4>
      </vt:variant>
    </vt:vector>
  </HeadingPairs>
  <TitlesOfParts>
    <vt:vector size="22" baseType="lpstr">
      <vt:lpstr>首页</vt:lpstr>
      <vt:lpstr>年度报告</vt:lpstr>
      <vt:lpstr>收入汇总</vt:lpstr>
      <vt:lpstr>支出汇总</vt:lpstr>
      <vt:lpstr>06自定义月度明细表</vt:lpstr>
      <vt:lpstr>05合同供应商明细表</vt:lpstr>
      <vt:lpstr>04台帐明细汇总</vt:lpstr>
      <vt:lpstr>03月度明细报表</vt:lpstr>
      <vt:lpstr>年度明细表</vt:lpstr>
      <vt:lpstr>02年度明细表</vt:lpstr>
      <vt:lpstr>01单据录入</vt:lpstr>
      <vt:lpstr>00参数配置</vt:lpstr>
      <vt:lpstr>'02年度明细表'!Print_Area</vt:lpstr>
      <vt:lpstr>'03月度明细报表'!Print_Area</vt:lpstr>
      <vt:lpstr>'04台帐明细汇总'!Print_Area</vt:lpstr>
      <vt:lpstr>'05合同供应商明细表'!Print_Area</vt:lpstr>
      <vt:lpstr>年度报告!Print_Area</vt:lpstr>
      <vt:lpstr>年度明细表!Print_Area</vt:lpstr>
      <vt:lpstr>收入汇总!Print_Area</vt:lpstr>
      <vt:lpstr>支出汇总!Print_Area</vt:lpstr>
      <vt:lpstr>收入汇总!Print_Titles</vt:lpstr>
      <vt:lpstr>支出汇总!Print_Titles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lxl</dc:creator>
  <cp:lastModifiedBy>糜星亮</cp:lastModifiedBy>
  <dcterms:created xsi:type="dcterms:W3CDTF">2020-04-22T09:28:00Z</dcterms:created>
  <dcterms:modified xsi:type="dcterms:W3CDTF">2021-05-16T14:57:09Z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  <property fmtid="{D5CDD505-2E9C-101B-9397-08002B2CF9AE}" pid="3" name="KSORubyTemplateID">
    <vt:lpwstr>100060</vt:lpwstr>
  </property>
  <property fmtid="{D5CDD505-2E9C-101B-9397-08002B2CF9AE}" pid="4" name="KSODocAssistSceneID">
    <vt:r8>2</vt:r8>
  </property>
</Properties>
</file>